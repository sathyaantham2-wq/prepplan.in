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60" yWindow="760" windowWidth="14400" windowHeight="7270" tabRatio="500" firstSheet="0" activeTab="0" autoFilterDateGrouping="1"/>
  </bookViews>
  <sheets>
    <sheet name="00 Read Me" sheetId="1" state="visible" r:id="rId1"/>
    <sheet name="01 Product Scope" sheetId="2" state="visible" r:id="rId2"/>
    <sheet name="02 Module Master" sheetId="3" state="visible" r:id="rId3"/>
    <sheet name="03 Feature Backlog" sheetId="4" state="visible" r:id="rId4"/>
    <sheet name="04 Data Model" sheetId="5" state="visible" r:id="rId5"/>
    <sheet name="05 API Endpoints" sheetId="6" state="visible" r:id="rId6"/>
    <sheet name="06 Screens &amp; Routes" sheetId="7" state="visible" r:id="rId7"/>
    <sheet name="07 AI Layer" sheetId="8" state="visible" r:id="rId8"/>
    <sheet name="08 Gap Analysis" sheetId="9" state="visible" r:id="rId9"/>
    <sheet name="09 Tech Stack" sheetId="10" state="visible" r:id="rId10"/>
    <sheet name="10 Roadmap" sheetId="11" state="visible" r:id="rId11"/>
    <sheet name="11 Risks" sheetId="12" state="visible" r:id="rId12"/>
    <sheet name="12 QA &amp; Test Plan" sheetId="13" state="visible" r:id="rId13"/>
    <sheet name="13 Effort Summary" sheetId="14" state="visible" r:id="rId14"/>
    <sheet name="14 Competitive Benchmark" sheetId="15" state="visible" r:id="rId15"/>
    <sheet name="15 Capability Matrix" sheetId="16" state="visible" r:id="rId16"/>
    <sheet name="16 Question Bank Plan" sheetId="17" state="visible" r:id="rId17"/>
    <sheet name="17 Rollout Sequence" sheetId="18" state="visible" r:id="rId18"/>
  </sheets>
  <definedNames>
    <definedName name="_xlnm._FilterDatabase" localSheetId="1" hidden="1">'01 Product Scope'!$A$3:$D$26</definedName>
    <definedName name="_xlnm._FilterDatabase" localSheetId="2" hidden="1">'02 Module Master'!$A$3:$L$25</definedName>
    <definedName name="_xlnm._FilterDatabase" localSheetId="3" hidden="1">'03 Feature Backlog'!$A$3:$K$125</definedName>
    <definedName name="_xlnm._FilterDatabase" localSheetId="4" hidden="1">'04 Data Model'!$A$3:$E$35</definedName>
    <definedName name="_xlnm._FilterDatabase" localSheetId="5" hidden="1">'05 API Endpoints'!$A$3:$F$41</definedName>
    <definedName name="_xlnm._FilterDatabase" localSheetId="6" hidden="1">'06 Screens &amp; Routes'!$A$3:$E$27</definedName>
    <definedName name="_xlnm._FilterDatabase" localSheetId="7" hidden="1">'07 AI Layer'!$A$3:$H$15</definedName>
    <definedName name="_xlnm._FilterDatabase" localSheetId="8" hidden="1">'08 Gap Analysis'!$A$3:$F$27</definedName>
    <definedName name="_xlnm._FilterDatabase" localSheetId="9" hidden="1">'09 Tech Stack'!$A$3:$E$21</definedName>
    <definedName name="_xlnm._FilterDatabase" localSheetId="11" hidden="1">'11 Risks'!$A$3:$F$17</definedName>
    <definedName name="_xlnm._FilterDatabase" localSheetId="12" hidden="1">'12 QA &amp; Test Plan'!$A$3:$G$25</definedName>
  </definedNames>
  <calcPr calcId="191029" fullCalcOnLoad="1" iterateDelta="0.0001"/>
</workbook>
</file>

<file path=xl/styles.xml><?xml version="1.0" encoding="utf-8"?>
<styleSheet xmlns="http://schemas.openxmlformats.org/spreadsheetml/2006/main">
  <numFmts count="2">
    <numFmt numFmtId="164" formatCode="dd\-mmm\-yyyy"/>
    <numFmt numFmtId="165" formatCode="0.0"/>
  </numFmts>
  <fonts count="16">
    <font>
      <name val="Calibri"/>
      <charset val="1"/>
      <family val="2"/>
      <color theme="1"/>
      <sz val="11"/>
    </font>
    <font>
      <name val="Arial"/>
      <charset val="1"/>
      <b val="1"/>
      <color rgb="FF1F3864"/>
      <sz val="18"/>
    </font>
    <font>
      <name val="Arial"/>
      <charset val="1"/>
      <i val="1"/>
      <color rgb="FF595959"/>
      <sz val="11"/>
    </font>
    <font>
      <name val="Arial"/>
      <charset val="1"/>
      <sz val="10"/>
    </font>
    <font>
      <name val="Arial"/>
      <charset val="1"/>
      <b val="1"/>
      <color rgb="FFFFFFFF"/>
      <sz val="12"/>
    </font>
    <font>
      <name val="Arial"/>
      <charset val="1"/>
      <b val="1"/>
      <sz val="10"/>
    </font>
    <font>
      <name val="Arial"/>
      <charset val="1"/>
      <b val="1"/>
      <color rgb="FF1F3864"/>
      <sz val="14"/>
    </font>
    <font>
      <name val="Arial"/>
      <charset val="1"/>
      <b val="1"/>
      <color rgb="FFFFFFFF"/>
      <sz val="10"/>
    </font>
    <font>
      <name val="Arial"/>
      <charset val="1"/>
      <color rgb="FF0000FF"/>
      <sz val="10"/>
    </font>
    <font>
      <name val="Arial"/>
      <charset val="1"/>
      <i val="1"/>
      <color rgb="FF595959"/>
      <sz val="9"/>
    </font>
    <font>
      <name val="Arial"/>
      <charset val="1"/>
      <i val="1"/>
      <sz val="10"/>
    </font>
    <font>
      <name val="Arial"/>
      <charset val="1"/>
      <i val="1"/>
      <color rgb="FFC00000"/>
      <sz val="10"/>
    </font>
    <font>
      <name val="Arial"/>
      <charset val="1"/>
      <i val="1"/>
      <sz val="9"/>
    </font>
    <font>
      <name val="Arial"/>
      <charset val="1"/>
      <i val="1"/>
      <color rgb="FFC00000"/>
      <sz val="9"/>
    </font>
    <font>
      <name val="Arial"/>
      <charset val="1"/>
      <b val="1"/>
      <color rgb="FF1F3864"/>
      <sz val="11"/>
    </font>
    <font>
      <name val="Arial"/>
      <charset val="1"/>
      <i val="1"/>
      <color rgb="FF1F3864"/>
      <sz val="10"/>
    </font>
  </fonts>
  <fills count="9">
    <fill>
      <patternFill/>
    </fill>
    <fill>
      <patternFill patternType="gray125"/>
    </fill>
    <fill>
      <patternFill patternType="solid">
        <fgColor rgb="FFFFF2CC"/>
        <bgColor rgb="FFFCE4D6"/>
      </patternFill>
    </fill>
    <fill>
      <patternFill patternType="solid">
        <fgColor rgb="FF1F3864"/>
        <bgColor rgb="FF333333"/>
      </patternFill>
    </fill>
    <fill>
      <patternFill patternType="solid">
        <fgColor rgb="FFD9E2F3"/>
        <bgColor rgb="FFE2EFDA"/>
      </patternFill>
    </fill>
    <fill>
      <patternFill patternType="solid">
        <fgColor rgb="FFFFFF00"/>
        <bgColor rgb="FFFFFF00"/>
      </patternFill>
    </fill>
    <fill>
      <patternFill patternType="solid">
        <fgColor rgb="FF2E75B6"/>
        <bgColor rgb="FF0066CC"/>
      </patternFill>
    </fill>
    <fill>
      <patternFill patternType="solid">
        <fgColor rgb="FFE2EFDA"/>
        <bgColor rgb="FFD9E2F3"/>
      </patternFill>
    </fill>
    <fill>
      <patternFill patternType="solid">
        <fgColor rgb="FFFCE4D6"/>
        <bgColor rgb="FFFFF2CC"/>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56">
    <xf numFmtId="0" fontId="0" fillId="0" borderId="0" pivotButton="0" quotePrefix="0" xfId="0"/>
    <xf numFmtId="0" fontId="5" fillId="0" borderId="0" applyAlignment="1" pivotButton="0" quotePrefix="0" xfId="0">
      <alignment vertical="top" wrapText="1"/>
    </xf>
    <xf numFmtId="0" fontId="7" fillId="3" borderId="1" applyAlignment="1" pivotButton="0" quotePrefix="0" xfId="0">
      <alignment horizontal="center" vertical="center" wrapText="1"/>
    </xf>
    <xf numFmtId="0" fontId="3" fillId="0" borderId="1" applyAlignment="1" pivotButton="0" quotePrefix="0" xfId="0">
      <alignment vertical="top" wrapText="1"/>
    </xf>
    <xf numFmtId="0" fontId="3" fillId="0" borderId="1" applyAlignment="1" pivotButton="0" quotePrefix="0" xfId="0">
      <alignment horizontal="center" vertical="center" wrapText="1"/>
    </xf>
    <xf numFmtId="9" fontId="3" fillId="0" borderId="1" applyAlignment="1" pivotButton="0" quotePrefix="0" xfId="0">
      <alignment horizontal="center" vertical="center" wrapText="1"/>
    </xf>
    <xf numFmtId="0" fontId="5" fillId="4" borderId="1" applyAlignment="1" pivotButton="0" quotePrefix="0" xfId="0">
      <alignment horizontal="center" vertical="center" wrapText="1"/>
    </xf>
    <xf numFmtId="9" fontId="5" fillId="4" borderId="1" applyAlignment="1" pivotButton="0" quotePrefix="0" xfId="0">
      <alignment horizontal="center" vertical="center" wrapText="1"/>
    </xf>
    <xf numFmtId="0" fontId="8" fillId="0" borderId="1" applyAlignment="1" pivotButton="0" quotePrefix="0" xfId="0">
      <alignment horizontal="center" vertical="center" wrapText="1"/>
    </xf>
    <xf numFmtId="0" fontId="5" fillId="0" borderId="0" pivotButton="0" quotePrefix="0" xfId="0"/>
    <xf numFmtId="0" fontId="5" fillId="4" borderId="0" pivotButton="0" quotePrefix="0" xfId="0"/>
    <xf numFmtId="164" fontId="8" fillId="5" borderId="0" pivotButton="0" quotePrefix="0" xfId="0"/>
    <xf numFmtId="0" fontId="8" fillId="5" borderId="0" pivotButton="0" quotePrefix="0" xfId="0"/>
    <xf numFmtId="0" fontId="9" fillId="0" borderId="0" pivotButton="0" quotePrefix="0" xfId="0"/>
    <xf numFmtId="164" fontId="3" fillId="0" borderId="1" applyAlignment="1" pivotButton="0" quotePrefix="0" xfId="0">
      <alignment horizontal="center" vertical="center" wrapText="1"/>
    </xf>
    <xf numFmtId="0" fontId="0" fillId="4" borderId="1" applyAlignment="1" pivotButton="0" quotePrefix="0" xfId="0">
      <alignment horizontal="center" vertical="center" wrapText="1"/>
    </xf>
    <xf numFmtId="164" fontId="5" fillId="4" borderId="1" applyAlignment="1" pivotButton="0" quotePrefix="0" xfId="0">
      <alignment horizontal="center" vertical="center" wrapText="1"/>
    </xf>
    <xf numFmtId="9" fontId="8" fillId="5" borderId="0" pivotButton="0" quotePrefix="0" xfId="0"/>
    <xf numFmtId="3" fontId="8" fillId="5" borderId="0" pivotButton="0" quotePrefix="0" xfId="0"/>
    <xf numFmtId="0" fontId="7" fillId="6" borderId="1" applyAlignment="1" pivotButton="0" quotePrefix="0" xfId="0">
      <alignment horizontal="center" vertical="center" wrapText="1"/>
    </xf>
    <xf numFmtId="0" fontId="3" fillId="0" borderId="1" pivotButton="0" quotePrefix="0" xfId="0"/>
    <xf numFmtId="3" fontId="3" fillId="0" borderId="1" applyAlignment="1" pivotButton="0" quotePrefix="0" xfId="0">
      <alignment horizontal="center" vertical="center" wrapText="1"/>
    </xf>
    <xf numFmtId="0" fontId="5" fillId="4" borderId="1" pivotButton="0" quotePrefix="0" xfId="0"/>
    <xf numFmtId="3" fontId="5" fillId="4" borderId="1" applyAlignment="1" pivotButton="0" quotePrefix="0" xfId="0">
      <alignment horizontal="center" vertical="center" wrapText="1"/>
    </xf>
    <xf numFmtId="0" fontId="12" fillId="0" borderId="1" applyAlignment="1" pivotButton="0" quotePrefix="0" xfId="0">
      <alignment vertical="top" wrapText="1"/>
    </xf>
    <xf numFmtId="3" fontId="8" fillId="0" borderId="1" applyAlignment="1" pivotButton="0" quotePrefix="0" xfId="0">
      <alignment horizontal="center" vertical="center" wrapText="1"/>
    </xf>
    <xf numFmtId="0" fontId="0" fillId="4" borderId="1" pivotButton="0" quotePrefix="0" xfId="0"/>
    <xf numFmtId="0" fontId="5" fillId="7" borderId="1" applyAlignment="1" pivotButton="0" quotePrefix="0" xfId="0">
      <alignment horizontal="center" vertical="center" wrapText="1"/>
    </xf>
    <xf numFmtId="0" fontId="5" fillId="8" borderId="1" applyAlignment="1" pivotButton="0" quotePrefix="0" xfId="0">
      <alignment vertical="top" wrapText="1"/>
    </xf>
    <xf numFmtId="0" fontId="5" fillId="8" borderId="1" applyAlignment="1" pivotButton="0" quotePrefix="0" xfId="0">
      <alignment horizontal="center" vertical="center" wrapText="1"/>
    </xf>
    <xf numFmtId="0" fontId="8" fillId="5" borderId="1" applyAlignment="1" pivotButton="0" quotePrefix="0" xfId="0">
      <alignment horizontal="center" vertical="center" wrapText="1"/>
    </xf>
    <xf numFmtId="9" fontId="8" fillId="5" borderId="1" applyAlignment="1" pivotButton="0" quotePrefix="0" xfId="0">
      <alignment horizontal="center" vertical="center" wrapText="1"/>
    </xf>
    <xf numFmtId="165" fontId="8" fillId="5"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vertical="top" wrapText="1"/>
    </xf>
    <xf numFmtId="0" fontId="5" fillId="0" borderId="1" pivotButton="0" quotePrefix="0" xfId="0"/>
    <xf numFmtId="3" fontId="0" fillId="4" borderId="1" applyAlignment="1" pivotButton="0" quotePrefix="0" xfId="0">
      <alignment horizontal="center" vertical="center" wrapText="1"/>
    </xf>
    <xf numFmtId="0" fontId="1" fillId="2" borderId="0" pivotButton="0" quotePrefix="0" xfId="0"/>
    <xf numFmtId="0" fontId="0" fillId="0" borderId="0" pivotButton="0" quotePrefix="0" xfId="0"/>
    <xf numFmtId="0" fontId="3" fillId="0" borderId="0" applyAlignment="1" pivotButton="0" quotePrefix="0" xfId="0">
      <alignment vertical="top" wrapText="1"/>
    </xf>
    <xf numFmtId="0" fontId="4" fillId="3" borderId="0" pivotButton="0" quotePrefix="0" xfId="0"/>
    <xf numFmtId="0" fontId="2" fillId="0" borderId="0" pivotButton="0" quotePrefix="0" xfId="0"/>
    <xf numFmtId="0" fontId="6" fillId="2" borderId="0" pivotButton="0" quotePrefix="0" xfId="0"/>
    <xf numFmtId="0" fontId="10" fillId="0" borderId="0" pivotButton="0" quotePrefix="0" xfId="0"/>
    <xf numFmtId="0" fontId="11" fillId="0" borderId="0" pivotButton="0" quotePrefix="0" xfId="0"/>
    <xf numFmtId="0" fontId="12" fillId="0" borderId="0" applyAlignment="1" pivotButton="0" quotePrefix="0" xfId="0">
      <alignment vertical="top" wrapText="1"/>
    </xf>
    <xf numFmtId="0" fontId="9" fillId="0" borderId="0" applyAlignment="1" pivotButton="0" quotePrefix="0" xfId="0">
      <alignment vertical="top" wrapText="1"/>
    </xf>
    <xf numFmtId="0" fontId="13" fillId="0" borderId="0" pivotButton="0" quotePrefix="0" xfId="0"/>
    <xf numFmtId="0" fontId="9" fillId="0" borderId="0" pivotButton="0" quotePrefix="0" xfId="0"/>
    <xf numFmtId="0" fontId="14" fillId="0" borderId="0" applyAlignment="1" pivotButton="0" quotePrefix="0" xfId="0">
      <alignment vertical="top" wrapText="1"/>
    </xf>
    <xf numFmtId="0" fontId="15" fillId="7" borderId="0" pivotButton="0" quotePrefix="0" xfId="0"/>
    <xf numFmtId="0" fontId="3" fillId="0" borderId="1" applyAlignment="1" pivotButton="0" quotePrefix="0" xfId="0">
      <alignment vertical="top" wrapText="1"/>
    </xf>
    <xf numFmtId="0" fontId="0" fillId="0" borderId="2" pivotButton="0" quotePrefix="0" xfId="0"/>
    <xf numFmtId="0" fontId="0" fillId="0" borderId="3" pivotButton="0" quotePrefix="0" xfId="0"/>
    <xf numFmtId="0" fontId="3" fillId="8" borderId="1" applyAlignment="1" pivotButton="0" quotePrefix="0" xfId="0">
      <alignment vertical="top" wrapText="1"/>
    </xf>
    <xf numFmtId="0" fontId="3" fillId="7"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showGridLines="0" tabSelected="1" zoomScaleNormal="100" workbookViewId="0">
      <selection activeCell="A1" sqref="A1:C1"/>
    </sheetView>
  </sheetViews>
  <sheetFormatPr baseColWidth="8" defaultColWidth="8.6328125" defaultRowHeight="14.5"/>
  <cols>
    <col width="42" customWidth="1" style="38" min="1" max="1"/>
    <col width="70" customWidth="1" style="38" min="2" max="2"/>
    <col width="40" customWidth="1" style="38" min="3" max="3"/>
  </cols>
  <sheetData>
    <row r="1" ht="30" customHeight="1" s="38">
      <c r="A1" s="37" t="inlineStr">
        <is>
          <t>ExamPrep AI — Student Evaluation Platform</t>
        </is>
      </c>
    </row>
    <row r="2" ht="15" customHeight="1" s="38">
      <c r="A2" s="41" t="inlineStr">
        <is>
          <t>Module-wise Construction Blueprint  |  Version 1.4  |  05 Sep 2026  |  17 tabs, 122 features</t>
        </is>
      </c>
    </row>
    <row r="3" ht="30" customHeight="1" s="38">
      <c r="A3" s="39" t="n"/>
    </row>
    <row r="4" ht="19.5" customHeight="1" s="38">
      <c r="A4" s="40" t="inlineStr">
        <is>
          <t>What this workbook is</t>
        </is>
      </c>
    </row>
    <row r="5" ht="30" customHeight="1" s="38">
      <c r="A5" s="39" t="inlineStr">
        <is>
          <t>A build plan, not code. It converts the ExamPrep AI tutor specification (paper generation, uploaded-paper evaluation, concept tracking, remediation, weekly summaries) plus the existing Grok prototype into 22 buildable modules with features, data model, APIs, screens, AI functions, effort and a phased roadmap.</t>
        </is>
      </c>
    </row>
    <row r="6" ht="30" customHeight="1" s="38">
      <c r="A6" s="39" t="n"/>
    </row>
    <row r="7" ht="19.5" customHeight="1" s="38">
      <c r="A7" s="40" t="inlineStr">
        <is>
          <t>Source material behind the plan</t>
        </is>
      </c>
    </row>
    <row r="8" ht="30" customHeight="1" s="38">
      <c r="A8" s="39" t="inlineStr">
        <is>
          <t>1. The ExamPrep AI role specification (7 sections: paper generation, evaluation protocol, concept tracking, session memory, teaching rules, weekly summary, final directive).</t>
        </is>
      </c>
    </row>
    <row r="9" ht="30" customHeight="1" s="38">
      <c r="A9" s="39" t="inlineStr">
        <is>
          <t>2. The uploaded Grok prototype (grok-workspace.zip): TanStack Start + React 19 + Tailwind v4 + shadcn/ui, better-auth, Postgres (Neon) / PGlite via Kysely, Zustand persist, deployed on Vercel. It ships a hardcoded Class-7 NCERT Ganita Prakash curriculum (15 chapters), ~75 questions, a mastery engine, and practice / exam / learn / mastery routes.</t>
        </is>
      </c>
    </row>
    <row r="10" ht="30" customHeight="1" s="38">
      <c r="A10" s="39" t="inlineStr">
        <is>
          <t>3. The live coaching project's diagnostic framework: Actual Score vs Knowledge Score, Delivery Gap, error patterns P1-P6, presentation habits H1-H10.</t>
        </is>
      </c>
    </row>
    <row r="11" ht="30" customHeight="1" s="38">
      <c r="A11" s="39" t="n"/>
    </row>
    <row r="12" ht="19.5" customHeight="1" s="38">
      <c r="A12" s="40" t="inlineStr">
        <is>
          <t>How to use each tab</t>
        </is>
      </c>
    </row>
    <row r="13" ht="30" customHeight="1" s="38">
      <c r="A13" s="1" t="inlineStr">
        <is>
          <t>01 Product Scope</t>
        </is>
      </c>
      <c r="B13" s="39" t="inlineStr">
        <is>
          <t>In scope / out of scope / personas / success metrics. Agree this first — it is the contract for everything below.</t>
        </is>
      </c>
    </row>
    <row r="14" ht="30" customHeight="1" s="38">
      <c r="A14" s="1" t="inlineStr">
        <is>
          <t>02 Module Master</t>
        </is>
      </c>
      <c r="B14" s="39" t="inlineStr">
        <is>
          <t>The 22 modules. Effort, feature count and % complete auto-roll from tab 03. This is your weekly status page.</t>
        </is>
      </c>
    </row>
    <row r="15" ht="30" customHeight="1" s="38">
      <c r="A15" s="1" t="inlineStr">
        <is>
          <t>03 Feature Backlog</t>
        </is>
      </c>
      <c r="B15" s="39" t="inlineStr">
        <is>
          <t>111 features with user story, acceptance criteria, effort and sprint. This is what you hand to a developer or to Claude Code, one row at a time.</t>
        </is>
      </c>
    </row>
    <row r="16" ht="30" customHeight="1" s="38">
      <c r="A16" s="1" t="inlineStr">
        <is>
          <t>04 Data Model</t>
        </is>
      </c>
      <c r="B16" s="39" t="inlineStr">
        <is>
          <t>26 tables with key columns and relations. Build this before any UI.</t>
        </is>
      </c>
    </row>
    <row r="17" ht="30" customHeight="1" s="38">
      <c r="A17" s="1" t="inlineStr">
        <is>
          <t>05 API Endpoints</t>
        </is>
      </c>
      <c r="B17" s="39" t="inlineStr">
        <is>
          <t>38 routes with auth level and payload shape.</t>
        </is>
      </c>
    </row>
    <row r="18" ht="30" customHeight="1" s="38">
      <c r="A18" s="1" t="inlineStr">
        <is>
          <t>06 Screens &amp; Routes</t>
        </is>
      </c>
      <c r="B18" s="39" t="inlineStr">
        <is>
          <t>24 screens mapped to modules and roles.</t>
        </is>
      </c>
    </row>
    <row r="19" ht="30" customHeight="1" s="38">
      <c r="A19" s="1" t="inlineStr">
        <is>
          <t>07 AI Layer</t>
        </is>
      </c>
      <c r="B19" s="39" t="inlineStr">
        <is>
          <t>12 AI functions with model choice, prompt inputs, output contract, guardrails and fallback. The riskiest and most valuable tab.</t>
        </is>
      </c>
    </row>
    <row r="20" ht="30" customHeight="1" s="38">
      <c r="A20" s="1" t="inlineStr">
        <is>
          <t>08 Gap Analysis</t>
        </is>
      </c>
      <c r="B20" s="39" t="inlineStr">
        <is>
          <t>What the Grok prototype already gives you vs what must be built. Reuse column tells you what to keep.</t>
        </is>
      </c>
    </row>
    <row r="21" ht="30" customHeight="1" s="38">
      <c r="A21" s="1" t="inlineStr">
        <is>
          <t>09 Tech Stack</t>
        </is>
      </c>
      <c r="B21" s="39" t="inlineStr">
        <is>
          <t>Locked technology decisions with rationale and alternatives rejected.</t>
        </is>
      </c>
    </row>
    <row r="22" ht="30" customHeight="1" s="38">
      <c r="A22" s="1" t="inlineStr">
        <is>
          <t>10 Roadmap</t>
        </is>
      </c>
      <c r="B22" s="39" t="inlineStr">
        <is>
          <t>5 phases with dates driven from the Project Start Date cell. Change that one cell and all dates move.</t>
        </is>
      </c>
    </row>
    <row r="23" ht="30" customHeight="1" s="38">
      <c r="A23" s="1" t="inlineStr">
        <is>
          <t>11 Risks</t>
        </is>
      </c>
      <c r="B23" s="39" t="inlineStr">
        <is>
          <t>14 risks scored by probability x impact with owner and mitigation.</t>
        </is>
      </c>
    </row>
    <row r="24" ht="30" customHeight="1" s="38">
      <c r="A24" s="1" t="inlineStr">
        <is>
          <t>12 QA &amp; Test Plan</t>
        </is>
      </c>
      <c r="B24" s="39" t="inlineStr">
        <is>
          <t>22 test scenarios by module, including the accuracy tests that matter most (OCR, AI grading, Telugu script).</t>
        </is>
      </c>
    </row>
    <row r="25" ht="30" customHeight="1" s="38">
      <c r="A25" s="1" t="inlineStr">
        <is>
          <t>13 Effort Summary</t>
        </is>
      </c>
      <c r="B25" s="39" t="inlineStr">
        <is>
          <t>Rolled-up effort by phase and priority, converted to calendar weeks using the velocity assumptions at the top.</t>
        </is>
      </c>
    </row>
    <row r="26" ht="30" customHeight="1" s="38">
      <c r="A26" s="39" t="n"/>
    </row>
    <row r="27" ht="19.5" customHeight="1" s="38">
      <c r="A27" s="40" t="inlineStr">
        <is>
          <t>Legend</t>
        </is>
      </c>
    </row>
    <row r="28" ht="30" customHeight="1" s="38">
      <c r="A28" s="1" t="inlineStr">
        <is>
          <t>Blue text</t>
        </is>
      </c>
      <c r="B28" s="39" t="inlineStr">
        <is>
          <t>An input you can change. All other cells are text or formulas.</t>
        </is>
      </c>
    </row>
    <row r="29" ht="30" customHeight="1" s="38">
      <c r="A29" s="1" t="inlineStr">
        <is>
          <t>Yellow fill</t>
        </is>
      </c>
      <c r="B29" s="39" t="inlineStr">
        <is>
          <t>Key assumption. Verify before committing to a date.</t>
        </is>
      </c>
    </row>
    <row r="30" ht="30" customHeight="1" s="38">
      <c r="A30" s="1" t="inlineStr">
        <is>
          <t>Priority</t>
        </is>
      </c>
      <c r="B30" s="39" t="inlineStr">
        <is>
          <t>P0 = MVP blocker. P1 = needed for a usable v1. P2 = valuable. P3 = later / optional.</t>
        </is>
      </c>
    </row>
    <row r="31" ht="30" customHeight="1" s="38">
      <c r="A31" s="1" t="inlineStr">
        <is>
          <t>Status</t>
        </is>
      </c>
      <c r="B31" s="39" t="inlineStr">
        <is>
          <t>Not Started / In Progress / Blocked / Done. Type it in column J of tab 03; tab 02 and 13 recalculate.</t>
        </is>
      </c>
    </row>
    <row r="32" ht="30" customHeight="1" s="38">
      <c r="A32" s="1" t="inlineStr">
        <is>
          <t>Effort</t>
        </is>
      </c>
      <c r="B32" s="39" t="inlineStr">
        <is>
          <t>Person-days for one mid-level full-stack developer working with an AI coding assistant. Estimates, not quotes.</t>
        </is>
      </c>
    </row>
    <row r="33" ht="30" customHeight="1" s="38">
      <c r="A33" s="39" t="n"/>
    </row>
    <row r="34" ht="19.5" customHeight="1" s="38">
      <c r="A34" s="40" t="inlineStr">
        <is>
          <t>Decisions still open (answer before Phase 1 starts)</t>
        </is>
      </c>
    </row>
    <row r="35" ht="30" customHeight="1" s="38">
      <c r="A35" s="1" t="inlineStr">
        <is>
          <t>1. Single-family tool or multi-tenant product?</t>
        </is>
      </c>
      <c r="B35" s="39" t="inlineStr">
        <is>
          <t>Changes M02, M20 and M21 substantially. Plan currently assumes: build single-family first, keep the schema multi-tenant-ready.</t>
        </is>
      </c>
    </row>
    <row r="36" ht="30" customHeight="1" s="38">
      <c r="A36" s="1" t="inlineStr">
        <is>
          <t>2. Which subjects at launch?</t>
        </is>
      </c>
      <c r="B36" s="39" t="inlineStr">
        <is>
          <t>Plan assumes Maths + Science in Phase 1, Social + Telugu in Phase 2. Telugu carries font, script and grammar-tagging cost (M18).</t>
        </is>
      </c>
    </row>
    <row r="37" ht="30" customHeight="1" s="38">
      <c r="A37" s="1" t="inlineStr">
        <is>
          <t>3. Handwritten evaluation: photo upload or typed transcription?</t>
        </is>
      </c>
      <c r="B37" s="39" t="inlineStr">
        <is>
          <t>Photo + vision OCR (M10) is the honest answer but the least reliable. Plan keeps typed fallback always available.</t>
        </is>
      </c>
    </row>
    <row r="38" ht="30" customHeight="1" s="38">
      <c r="A38" s="1" t="inlineStr">
        <is>
          <t>4. Does the student attempt papers on screen, or on paper then upload?</t>
        </is>
      </c>
      <c r="B38" s="39" t="inlineStr">
        <is>
          <t>Plan supports both. On-screen (M08) is cheaper and auto-scored; paper-then-upload (M10) is what actually reflects exam conditions.</t>
        </is>
      </c>
    </row>
    <row r="39" ht="30" customHeight="1" s="38">
      <c r="A39" s="1" t="inlineStr">
        <is>
          <t>5. Board coverage: CBSE only, or CBSE + AP/TS State?</t>
        </is>
      </c>
      <c r="B39" s="39" t="inlineStr">
        <is>
          <t>Affects M04 blueprint engine. Plan assumes CBSE-style blueprints first, State Board added as a blueprint record, not new code.</t>
        </is>
      </c>
    </row>
  </sheetData>
  <mergeCells count="39">
    <mergeCell ref="B16:C16"/>
    <mergeCell ref="B25:C25"/>
    <mergeCell ref="A27:C27"/>
    <mergeCell ref="B22:C22"/>
    <mergeCell ref="A3:C3"/>
    <mergeCell ref="B31:C31"/>
    <mergeCell ref="A12:C12"/>
    <mergeCell ref="B18:C18"/>
    <mergeCell ref="A26:C26"/>
    <mergeCell ref="A2:C2"/>
    <mergeCell ref="B39:C39"/>
    <mergeCell ref="B21:C21"/>
    <mergeCell ref="A33:C33"/>
    <mergeCell ref="A5:C5"/>
    <mergeCell ref="A8:C8"/>
    <mergeCell ref="B23:C23"/>
    <mergeCell ref="B14:C14"/>
    <mergeCell ref="B17:C17"/>
    <mergeCell ref="A4:C4"/>
    <mergeCell ref="A10:C10"/>
    <mergeCell ref="B13:C13"/>
    <mergeCell ref="B38:C38"/>
    <mergeCell ref="B29:C29"/>
    <mergeCell ref="B19:C19"/>
    <mergeCell ref="B37:C37"/>
    <mergeCell ref="B28:C28"/>
    <mergeCell ref="A9:C9"/>
    <mergeCell ref="A34:C34"/>
    <mergeCell ref="B24:C24"/>
    <mergeCell ref="B30:C30"/>
    <mergeCell ref="A11:C11"/>
    <mergeCell ref="B15:C15"/>
    <mergeCell ref="A1:C1"/>
    <mergeCell ref="B20:C20"/>
    <mergeCell ref="A6:C6"/>
    <mergeCell ref="B36:C36"/>
    <mergeCell ref="B32:C32"/>
    <mergeCell ref="A7:C7"/>
    <mergeCell ref="B35:C35"/>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26"/>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18" customWidth="1" style="38" min="1" max="1"/>
    <col width="32" customWidth="1" style="38" min="2" max="2"/>
    <col width="95" customWidth="1" style="38" min="3" max="3"/>
    <col width="18" customWidth="1" style="38" min="4" max="4"/>
  </cols>
  <sheetData>
    <row r="1" ht="24" customHeight="1" s="38">
      <c r="A1" s="42" t="inlineStr">
        <is>
          <t>01  Product Scope, Personas and Success Metrics</t>
        </is>
      </c>
    </row>
    <row r="3" ht="30" customHeight="1" s="38">
      <c r="A3" s="2" t="inlineStr">
        <is>
          <t>Category</t>
        </is>
      </c>
      <c r="B3" s="2" t="inlineStr">
        <is>
          <t>Item</t>
        </is>
      </c>
      <c r="C3" s="2" t="inlineStr">
        <is>
          <t>Detail</t>
        </is>
      </c>
      <c r="D3" s="2" t="inlineStr">
        <is>
          <t>Status / Priority</t>
        </is>
      </c>
    </row>
    <row r="4" ht="34.5" customHeight="1" s="38">
      <c r="A4" s="51" t="inlineStr">
        <is>
          <t>Vision</t>
        </is>
      </c>
      <c r="B4" s="51" t="inlineStr">
        <is>
          <t>One sentence</t>
        </is>
      </c>
      <c r="C4" s="51" t="inlineStr">
        <is>
          <t>A web app that generates syllabus-exact question papers, evaluates the student's attempt question-by-question, diagnoses whether each lost mark is a knowledge gap or a delivery habit, and tracks every concept until it is mastered.</t>
        </is>
      </c>
      <c r="D4" s="51" t="inlineStr">
        <is>
          <t>Agreed</t>
        </is>
      </c>
    </row>
    <row r="5" ht="23.25" customHeight="1" s="38">
      <c r="A5" s="51" t="inlineStr">
        <is>
          <t>Primary persona</t>
        </is>
      </c>
      <c r="B5" s="51" t="inlineStr">
        <is>
          <t>Parent / coach</t>
        </is>
      </c>
      <c r="C5" s="51" t="inlineStr">
        <is>
          <t>Sets up the child, requests papers, uploads the written attempt, reads the diagnosis, receives one concrete action per session. Not a teacher; needs plain language.</t>
        </is>
      </c>
      <c r="D5" s="51" t="inlineStr">
        <is>
          <t>Agreed</t>
        </is>
      </c>
    </row>
    <row r="6" ht="23.25" customHeight="1" s="38">
      <c r="A6" s="51" t="inlineStr">
        <is>
          <t>Secondary persona</t>
        </is>
      </c>
      <c r="B6" s="51" t="inlineStr">
        <is>
          <t>Student (Class 6-10)</t>
        </is>
      </c>
      <c r="C6" s="51" t="inlineStr">
        <is>
          <t>Takes practice sets and timed mocks on screen, sees mastery rings and remediation drills. Must never feel graded harshly in tone.</t>
        </is>
      </c>
      <c r="D6" s="51" t="inlineStr">
        <is>
          <t>Agreed</t>
        </is>
      </c>
    </row>
    <row r="7" ht="15" customHeight="1" s="38">
      <c r="A7" s="51" t="inlineStr">
        <is>
          <t>Tertiary persona</t>
        </is>
      </c>
      <c r="B7" s="51" t="inlineStr">
        <is>
          <t>Tutor / school teacher</t>
        </is>
      </c>
      <c r="C7" s="51" t="inlineStr">
        <is>
          <t>Multi-student console, bulk paper generation, class-level weak-concept heatmap. Phase 4.</t>
        </is>
      </c>
      <c r="D7" s="51" t="inlineStr">
        <is>
          <t>Deferred</t>
        </is>
      </c>
    </row>
    <row r="8" ht="23.25" customHeight="1" s="38">
      <c r="A8" s="51" t="inlineStr">
        <is>
          <t>In scope</t>
        </is>
      </c>
      <c r="B8" s="51" t="inlineStr">
        <is>
          <t>Paper generation</t>
        </is>
      </c>
      <c r="C8" s="51" t="inlineStr">
        <is>
          <t>Blueprint-driven papers per subject/chapter/marks/duration, with sections A-D, Bloom distribution, concept tags, answer key, marking scheme, concept coverage table, printable A4 PDF.</t>
        </is>
      </c>
      <c r="D8" s="51" t="inlineStr">
        <is>
          <t>P0</t>
        </is>
      </c>
    </row>
    <row r="9" ht="23.25" customHeight="1" s="38">
      <c r="A9" s="51" t="inlineStr">
        <is>
          <t>In scope</t>
        </is>
      </c>
      <c r="B9" s="51" t="inlineStr">
        <is>
          <t>Attempt capture</t>
        </is>
      </c>
      <c r="C9" s="51" t="inlineStr">
        <is>
          <t>On-screen attempt (auto-scored) AND photo/scan upload of a handwritten attempt (AI-assisted evaluation with human confirm).</t>
        </is>
      </c>
      <c r="D9" s="51" t="inlineStr">
        <is>
          <t>P0/P1</t>
        </is>
      </c>
    </row>
    <row r="10" ht="15" customHeight="1" s="38">
      <c r="A10" s="51" t="inlineStr">
        <is>
          <t>In scope</t>
        </is>
      </c>
      <c r="B10" s="51" t="inlineStr">
        <is>
          <t>Evaluation</t>
        </is>
      </c>
      <c r="C10" s="51" t="inlineStr">
        <is>
          <t>Per-question marks, error classification, Actual vs Knowledge score, Delivery Gap, habit observations.</t>
        </is>
      </c>
      <c r="D10" s="51" t="inlineStr">
        <is>
          <t>P0</t>
        </is>
      </c>
    </row>
    <row r="11" ht="15" customHeight="1" s="38">
      <c r="A11" s="51" t="inlineStr">
        <is>
          <t>In scope</t>
        </is>
      </c>
      <c r="B11" s="51" t="inlineStr">
        <is>
          <t>Tracking</t>
        </is>
      </c>
      <c r="C11" s="51" t="inlineStr">
        <is>
          <t>Cumulative concept tracker with trend arrows, priority flag rules, auto-generated mini revision tests, weekly summary.</t>
        </is>
      </c>
      <c r="D11" s="51" t="inlineStr">
        <is>
          <t>P0</t>
        </is>
      </c>
    </row>
    <row r="12" ht="15" customHeight="1" s="38">
      <c r="A12" s="51" t="inlineStr">
        <is>
          <t>In scope</t>
        </is>
      </c>
      <c r="B12" s="51" t="inlineStr">
        <is>
          <t>Remediation</t>
        </is>
      </c>
      <c r="C12" s="51" t="inlineStr">
        <is>
          <t>4-step protocol per weak concept: refresher, 2 solved examples, 3 practice questions, upload-and-evaluate loop.</t>
        </is>
      </c>
      <c r="D12" s="51" t="inlineStr">
        <is>
          <t>P1</t>
        </is>
      </c>
    </row>
    <row r="13" ht="15" customHeight="1" s="38">
      <c r="A13" s="51" t="inlineStr">
        <is>
          <t>In scope</t>
        </is>
      </c>
      <c r="B13" s="51" t="inlineStr">
        <is>
          <t>Subjects</t>
        </is>
      </c>
      <c r="C13" s="51" t="inlineStr">
        <is>
          <t>Maths and Science at launch; Social Studies and Telugu in Phase 2 (Telugu needs script + grammar tagging).</t>
        </is>
      </c>
      <c r="D13" s="51" t="inlineStr">
        <is>
          <t>P0/P1</t>
        </is>
      </c>
    </row>
    <row r="14" ht="15" customHeight="1" s="38">
      <c r="A14" s="51" t="inlineStr">
        <is>
          <t>Out of scope v1</t>
        </is>
      </c>
      <c r="B14" s="51" t="inlineStr">
        <is>
          <t>Live video tutoring</t>
        </is>
      </c>
      <c r="C14" s="51" t="inlineStr">
        <is>
          <t>No synchronous teaching, no video calls.</t>
        </is>
      </c>
      <c r="D14" s="51" t="inlineStr">
        <is>
          <t>Excluded</t>
        </is>
      </c>
    </row>
    <row r="15" ht="15" customHeight="1" s="38">
      <c r="A15" s="51" t="inlineStr">
        <is>
          <t>Out of scope v1</t>
        </is>
      </c>
      <c r="B15" s="51" t="inlineStr">
        <is>
          <t>Marketplace / content selling</t>
        </is>
      </c>
      <c r="C15" s="51" t="inlineStr">
        <is>
          <t>No third-party content sales, no teacher marketplace.</t>
        </is>
      </c>
      <c r="D15" s="51" t="inlineStr">
        <is>
          <t>Excluded</t>
        </is>
      </c>
    </row>
    <row r="16" ht="15" customHeight="1" s="38">
      <c r="A16" s="51" t="inlineStr">
        <is>
          <t>Out of scope v1</t>
        </is>
      </c>
      <c r="B16" s="51" t="inlineStr">
        <is>
          <t>Full LMS</t>
        </is>
      </c>
      <c r="C16" s="51" t="inlineStr">
        <is>
          <t>No attendance, fee management, timetable or school ERP features.</t>
        </is>
      </c>
      <c r="D16" s="51" t="inlineStr">
        <is>
          <t>Excluded</t>
        </is>
      </c>
    </row>
    <row r="17" ht="15" customHeight="1" s="38">
      <c r="A17" s="51" t="inlineStr">
        <is>
          <t>Out of scope v1</t>
        </is>
      </c>
      <c r="B17" s="51" t="inlineStr">
        <is>
          <t>Native mobile apps</t>
        </is>
      </c>
      <c r="C17" s="51" t="inlineStr">
        <is>
          <t>Responsive web only in v1. Revised 2026-09-30 at the owner's request: an Android app ships on Google Play as a Trusted Web Activity over the same web app (F131). iOS/App Store is still excluded.</t>
        </is>
      </c>
      <c r="D17" s="51" t="inlineStr">
        <is>
          <t>Revised (F131)</t>
        </is>
      </c>
    </row>
    <row r="18" ht="23.25" customHeight="1" s="38">
      <c r="A18" s="51" t="inlineStr">
        <is>
          <t>Out of scope v1</t>
        </is>
      </c>
      <c r="B18" s="51" t="inlineStr">
        <is>
          <t>Auto-grading of long essays at exam standard</t>
        </is>
      </c>
      <c r="C18" s="51" t="inlineStr">
        <is>
          <t>AI proposes marks for long answers; a human confirms before the score is committed to the tracker.</t>
        </is>
      </c>
      <c r="D18" s="51" t="inlineStr">
        <is>
          <t>Constrained</t>
        </is>
      </c>
    </row>
    <row r="19" ht="23.25" customHeight="1" s="38">
      <c r="A19" s="51" t="inlineStr">
        <is>
          <t>Success metric</t>
        </is>
      </c>
      <c r="B19" s="51" t="inlineStr">
        <is>
          <t>Diagnostic accuracy</t>
        </is>
      </c>
      <c r="C19" s="51" t="inlineStr">
        <is>
          <t>AI-proposed marks agree with the parent's confirmed marks on &gt;= 85% of questions after 20 evaluated papers.</t>
        </is>
      </c>
      <c r="D19" s="51" t="inlineStr">
        <is>
          <t>Measure from Phase 2</t>
        </is>
      </c>
    </row>
    <row r="20" ht="15" customHeight="1" s="38">
      <c r="A20" s="51" t="inlineStr">
        <is>
          <t>Success metric</t>
        </is>
      </c>
      <c r="B20" s="51" t="inlineStr">
        <is>
          <t>Delivery Gap</t>
        </is>
      </c>
      <c r="C20" s="51" t="inlineStr">
        <is>
          <t>Median Delivery Gap across subjects falls below 8 marks within 2 exam cycles of active use.</t>
        </is>
      </c>
      <c r="D20" s="51" t="inlineStr">
        <is>
          <t>Core KPI</t>
        </is>
      </c>
    </row>
    <row r="21" ht="23.25" customHeight="1" s="38">
      <c r="A21" s="51" t="inlineStr">
        <is>
          <t>Success metric</t>
        </is>
      </c>
      <c r="B21" s="51" t="inlineStr">
        <is>
          <t>Loop completion</t>
        </is>
      </c>
      <c r="C21" s="51" t="inlineStr">
        <is>
          <t>&gt; 70% of generated papers are attempted AND evaluated (not abandoned after download).</t>
        </is>
      </c>
      <c r="D21" s="51" t="inlineStr">
        <is>
          <t>Measure from Phase 1</t>
        </is>
      </c>
    </row>
    <row r="22" ht="23.25" customHeight="1" s="38">
      <c r="A22" s="51" t="inlineStr">
        <is>
          <t>Success metric</t>
        </is>
      </c>
      <c r="B22" s="51" t="inlineStr">
        <is>
          <t>Time to paper</t>
        </is>
      </c>
      <c r="C22" s="51" t="inlineStr">
        <is>
          <t>Parent goes from login to a downloadable, syllabus-correct PDF in under 3 minutes.</t>
        </is>
      </c>
      <c r="D22" s="51" t="inlineStr">
        <is>
          <t>Measure from Phase 1</t>
        </is>
      </c>
    </row>
    <row r="23" ht="23.25" customHeight="1" s="38">
      <c r="A23" s="51" t="inlineStr">
        <is>
          <t>Success metric</t>
        </is>
      </c>
      <c r="B23" s="51" t="inlineStr">
        <is>
          <t>Cost per paper</t>
        </is>
      </c>
      <c r="C23" s="51" t="inlineStr">
        <is>
          <t>AI cost per generated-and-evaluated paper stays under Rs 25.</t>
        </is>
      </c>
      <c r="D23" s="51" t="inlineStr">
        <is>
          <t>Measure from Phase 2</t>
        </is>
      </c>
    </row>
    <row r="24" ht="23.25" customHeight="1" s="38">
      <c r="A24" s="51" t="inlineStr">
        <is>
          <t>Constraint</t>
        </is>
      </c>
      <c r="B24" s="51" t="inlineStr">
        <is>
          <t>Syllabus fidelity</t>
        </is>
      </c>
      <c r="C24" s="51" t="inlineStr">
        <is>
          <t>Every question must trace to a stored chapter scope record (in-scope / out-of-scope lists). No question may be generated from an untraced concept.</t>
        </is>
      </c>
      <c r="D24" s="51" t="inlineStr">
        <is>
          <t>Hard rule</t>
        </is>
      </c>
    </row>
    <row r="25" ht="23.25" customHeight="1" s="38">
      <c r="A25" s="51" t="inlineStr">
        <is>
          <t>Constraint</t>
        </is>
      </c>
      <c r="B25" s="51" t="inlineStr">
        <is>
          <t>Child data</t>
        </is>
      </c>
      <c r="C25" s="51" t="inlineStr">
        <is>
          <t>Student names, photos of handwriting and scores are sensitive personal data of a minor under India's DPDP Act 2023. Parent consent, encryption at rest, and export/delete must exist before any external user is onboarded.</t>
        </is>
      </c>
      <c r="D25" s="51" t="inlineStr">
        <is>
          <t>Hard rule</t>
        </is>
      </c>
    </row>
    <row r="26" ht="23.25" customHeight="1" s="38">
      <c r="A26" s="51" t="inlineStr">
        <is>
          <t>Constraint</t>
        </is>
      </c>
      <c r="B26" s="51" t="inlineStr">
        <is>
          <t>Offline reality</t>
        </is>
      </c>
      <c r="C26" s="51" t="inlineStr">
        <is>
          <t>The printed PDF is the primary artefact. The app must remain useful for a family that prints, writes by hand and uploads photos.</t>
        </is>
      </c>
      <c r="D26" s="51" t="inlineStr">
        <is>
          <t>Design rule</t>
        </is>
      </c>
    </row>
  </sheetData>
  <autoFilter ref="A3:D26"/>
  <mergeCells count="1">
    <mergeCell ref="A1:D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L26"/>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10" customWidth="1" style="38" min="1" max="1"/>
    <col width="30" customWidth="1" style="38" min="2" max="2"/>
    <col width="16" customWidth="1" style="38" min="3" max="3"/>
    <col width="46" customWidth="1" style="38" min="4" max="4"/>
    <col width="38" customWidth="1" style="38" min="5" max="5"/>
    <col width="12" customWidth="1" style="38" min="6" max="6"/>
    <col width="9" customWidth="1" style="38" min="7" max="7"/>
    <col width="40" customWidth="1" style="38" min="8" max="8"/>
    <col width="10" customWidth="1" style="38" min="9" max="10"/>
    <col width="8" customWidth="1" style="38" min="11" max="11"/>
    <col width="12" customWidth="1" style="38" min="12" max="12"/>
  </cols>
  <sheetData>
    <row r="1" ht="24" customHeight="1" s="38">
      <c r="A1" s="42" t="inlineStr">
        <is>
          <t>02  Module Master  —  counts and effort roll up automatically from tab 03</t>
        </is>
      </c>
    </row>
    <row r="3" ht="30" customHeight="1" s="38">
      <c r="A3" s="2" t="inlineStr">
        <is>
          <t>Module ID</t>
        </is>
      </c>
      <c r="B3" s="2" t="inlineStr">
        <is>
          <t>Module</t>
        </is>
      </c>
      <c r="C3" s="2" t="inlineStr">
        <is>
          <t>Phase</t>
        </is>
      </c>
      <c r="D3" s="2" t="inlineStr">
        <is>
          <t>Purpose</t>
        </is>
      </c>
      <c r="E3" s="2" t="inlineStr">
        <is>
          <t>Key Deliverable</t>
        </is>
      </c>
      <c r="F3" s="2" t="inlineStr">
        <is>
          <t>Depends On</t>
        </is>
      </c>
      <c r="G3" s="2" t="inlineStr">
        <is>
          <t>Priority</t>
        </is>
      </c>
      <c r="H3" s="2" t="inlineStr">
        <is>
          <t>Notes / Reuse</t>
        </is>
      </c>
      <c r="I3" s="2" t="inlineStr">
        <is>
          <t>Features</t>
        </is>
      </c>
      <c r="J3" s="2" t="inlineStr">
        <is>
          <t>Est. Days</t>
        </is>
      </c>
      <c r="K3" s="2" t="inlineStr">
        <is>
          <t>Done</t>
        </is>
      </c>
      <c r="L3" s="2" t="inlineStr">
        <is>
          <t>% Complete</t>
        </is>
      </c>
    </row>
    <row r="4" ht="23.25" customHeight="1" s="38">
      <c r="A4" s="51" t="inlineStr">
        <is>
          <t>M01</t>
        </is>
      </c>
      <c r="B4" s="51" t="inlineStr">
        <is>
          <t>Foundation &amp; Infrastructure</t>
        </is>
      </c>
      <c r="C4" s="51" t="inlineStr">
        <is>
          <t>P0 Foundation</t>
        </is>
      </c>
      <c r="D4" s="51" t="inlineStr">
        <is>
          <t>Repo, environments, CI, Vercel projects, error tracking, secrets.</t>
        </is>
      </c>
      <c r="E4" s="51" t="inlineStr">
        <is>
          <t>Deployable skeleton with preview + prod environments</t>
        </is>
      </c>
      <c r="F4" s="51" t="inlineStr">
        <is>
          <t>-</t>
        </is>
      </c>
      <c r="G4" s="51" t="inlineStr">
        <is>
          <t>P0</t>
        </is>
      </c>
      <c r="H4" s="51" t="inlineStr">
        <is>
          <t>Reuse Grok scaffold heavily</t>
        </is>
      </c>
      <c r="I4" s="4">
        <f>COUNTIF('03 Feature Backlog'!$A:$A,$A4)</f>
        <v/>
      </c>
      <c r="J4" s="4">
        <f>SUMIF('03 Feature Backlog'!$A:$A,$A4,'03 Feature Backlog'!$H:$H)</f>
        <v/>
      </c>
      <c r="K4" s="4">
        <f>COUNTIFS('03 Feature Backlog'!$A:$A,$A4,'03 Feature Backlog'!$J:$J,"Done")</f>
        <v/>
      </c>
      <c r="L4" s="5">
        <f>IFERROR(K4/I4,0)</f>
        <v/>
      </c>
    </row>
    <row r="5" ht="23.25" customHeight="1" s="38">
      <c r="A5" s="51" t="inlineStr">
        <is>
          <t>M02</t>
        </is>
      </c>
      <c r="B5" s="51" t="inlineStr">
        <is>
          <t>Auth, Roles &amp; Household</t>
        </is>
      </c>
      <c r="C5" s="51" t="inlineStr">
        <is>
          <t>P0 Foundation</t>
        </is>
      </c>
      <c r="D5" s="51" t="inlineStr">
        <is>
          <t>Sign-in, parent/student/admin roles, one household with many students.</t>
        </is>
      </c>
      <c r="E5" s="51" t="inlineStr">
        <is>
          <t>Role-gated routing and student switching</t>
        </is>
      </c>
      <c r="F5" s="51" t="inlineStr">
        <is>
          <t>M01</t>
        </is>
      </c>
      <c r="G5" s="51" t="inlineStr">
        <is>
          <t>P0</t>
        </is>
      </c>
      <c r="H5" s="51" t="inlineStr">
        <is>
          <t>better-auth already wired in prototype</t>
        </is>
      </c>
      <c r="I5" s="4">
        <f>COUNTIF('03 Feature Backlog'!$A:$A,$A5)</f>
        <v/>
      </c>
      <c r="J5" s="4">
        <f>SUMIF('03 Feature Backlog'!$A:$A,$A5,'03 Feature Backlog'!$H:$H)</f>
        <v/>
      </c>
      <c r="K5" s="4">
        <f>COUNTIFS('03 Feature Backlog'!$A:$A,$A5,'03 Feature Backlog'!$J:$J,"Done")</f>
        <v/>
      </c>
      <c r="L5" s="5">
        <f>IFERROR(K5/I5,0)</f>
        <v/>
      </c>
    </row>
    <row r="6" ht="23.25" customHeight="1" s="38">
      <c r="A6" s="51" t="inlineStr">
        <is>
          <t>M03</t>
        </is>
      </c>
      <c r="B6" s="51" t="inlineStr">
        <is>
          <t>Database &amp; Migrations</t>
        </is>
      </c>
      <c r="C6" s="51" t="inlineStr">
        <is>
          <t>P0 Foundation</t>
        </is>
      </c>
      <c r="D6" s="51" t="inlineStr">
        <is>
          <t>Postgres schema, migration runner, seed scripts, backup policy.</t>
        </is>
      </c>
      <c r="E6" s="51" t="inlineStr">
        <is>
          <t>Versioned schema covering all 26 tables</t>
        </is>
      </c>
      <c r="F6" s="51" t="inlineStr">
        <is>
          <t>M01</t>
        </is>
      </c>
      <c r="G6" s="51" t="inlineStr">
        <is>
          <t>P0</t>
        </is>
      </c>
      <c r="H6" s="51" t="inlineStr">
        <is>
          <t>Prototype has Kysely + migration script</t>
        </is>
      </c>
      <c r="I6" s="4">
        <f>COUNTIF('03 Feature Backlog'!$A:$A,$A6)</f>
        <v/>
      </c>
      <c r="J6" s="4">
        <f>SUMIF('03 Feature Backlog'!$A:$A,$A6,'03 Feature Backlog'!$H:$H)</f>
        <v/>
      </c>
      <c r="K6" s="4">
        <f>COUNTIFS('03 Feature Backlog'!$A:$A,$A6,'03 Feature Backlog'!$J:$J,"Done")</f>
        <v/>
      </c>
      <c r="L6" s="5">
        <f>IFERROR(K6/I6,0)</f>
        <v/>
      </c>
    </row>
    <row r="7" ht="23.25" customHeight="1" s="38">
      <c r="A7" s="51" t="inlineStr">
        <is>
          <t>M04</t>
        </is>
      </c>
      <c r="B7" s="51" t="inlineStr">
        <is>
          <t>Curriculum &amp; Syllabus Engine</t>
        </is>
      </c>
      <c r="C7" s="51" t="inlineStr">
        <is>
          <t>P1 Core</t>
        </is>
      </c>
      <c r="D7" s="51" t="inlineStr">
        <is>
          <t>Board &gt; class &gt; subject &gt; chapter &gt; concept hierarchy with explicit in-scope and out-of-scope text per chapter.</t>
        </is>
      </c>
      <c r="E7" s="51" t="inlineStr">
        <is>
          <t>Admin-editable syllabus tree with scope guards</t>
        </is>
      </c>
      <c r="F7" s="51" t="inlineStr">
        <is>
          <t>M03</t>
        </is>
      </c>
      <c r="G7" s="51" t="inlineStr">
        <is>
          <t>P0</t>
        </is>
      </c>
      <c r="H7" s="51" t="inlineStr">
        <is>
          <t>Prototype hardcodes this in TypeScript — must move to DB</t>
        </is>
      </c>
      <c r="I7" s="4">
        <f>COUNTIF('03 Feature Backlog'!$A:$A,$A7)</f>
        <v/>
      </c>
      <c r="J7" s="4">
        <f>SUMIF('03 Feature Backlog'!$A:$A,$A7,'03 Feature Backlog'!$H:$H)</f>
        <v/>
      </c>
      <c r="K7" s="4">
        <f>COUNTIFS('03 Feature Backlog'!$A:$A,$A7,'03 Feature Backlog'!$J:$J,"Done")</f>
        <v/>
      </c>
      <c r="L7" s="5">
        <f>IFERROR(K7/I7,0)</f>
        <v/>
      </c>
    </row>
    <row r="8" ht="23.25" customHeight="1" s="38">
      <c r="A8" s="51" t="inlineStr">
        <is>
          <t>M05</t>
        </is>
      </c>
      <c r="B8" s="51" t="inlineStr">
        <is>
          <t>Question Bank</t>
        </is>
      </c>
      <c r="C8" s="51" t="inlineStr">
        <is>
          <t>P1 Core</t>
        </is>
      </c>
      <c r="D8" s="51" t="inlineStr">
        <is>
          <t>Questions with concept, Bloom, difficulty, marks, type, options, answer, hint, step-marks, diagram, language.</t>
        </is>
      </c>
      <c r="E8" s="51" t="inlineStr">
        <is>
          <t>CRUD + bulk import + duplicate detection</t>
        </is>
      </c>
      <c r="F8" s="51" t="inlineStr">
        <is>
          <t>M04</t>
        </is>
      </c>
      <c r="G8" s="51" t="inlineStr">
        <is>
          <t>P0</t>
        </is>
      </c>
      <c r="H8" s="51" t="inlineStr">
        <is>
          <t>75 seed questions exist</t>
        </is>
      </c>
      <c r="I8" s="4">
        <f>COUNTIF('03 Feature Backlog'!$A:$A,$A8)</f>
        <v/>
      </c>
      <c r="J8" s="4">
        <f>SUMIF('03 Feature Backlog'!$A:$A,$A8,'03 Feature Backlog'!$H:$H)</f>
        <v/>
      </c>
      <c r="K8" s="4">
        <f>COUNTIFS('03 Feature Backlog'!$A:$A,$A8,'03 Feature Backlog'!$J:$J,"Done")</f>
        <v/>
      </c>
      <c r="L8" s="5">
        <f>IFERROR(K8/I8,0)</f>
        <v/>
      </c>
    </row>
    <row r="9" ht="34.5" customHeight="1" s="38">
      <c r="A9" s="51" t="inlineStr">
        <is>
          <t>M06</t>
        </is>
      </c>
      <c r="B9" s="51" t="inlineStr">
        <is>
          <t>Paper Blueprint &amp; Generator</t>
        </is>
      </c>
      <c r="C9" s="51" t="inlineStr">
        <is>
          <t>P1 Core</t>
        </is>
      </c>
      <c r="D9" s="51" t="inlineStr">
        <is>
          <t>Blueprint records (sections, marks, counts, Bloom mix, choice rules) + weighted selection 40/40/20 from the mastery log.</t>
        </is>
      </c>
      <c r="E9" s="51" t="inlineStr">
        <is>
          <t>One-click paper honouring blueprint and weak-concept weighting</t>
        </is>
      </c>
      <c r="F9" s="51" t="inlineStr">
        <is>
          <t>M05, M12</t>
        </is>
      </c>
      <c r="G9" s="51" t="inlineStr">
        <is>
          <t>P0</t>
        </is>
      </c>
      <c r="H9" s="51" t="inlineStr">
        <is>
          <t>Core differentiator — nothing in prototype</t>
        </is>
      </c>
      <c r="I9" s="4">
        <f>COUNTIF('03 Feature Backlog'!$A:$A,$A9)</f>
        <v/>
      </c>
      <c r="J9" s="4">
        <f>SUMIF('03 Feature Backlog'!$A:$A,$A9,'03 Feature Backlog'!$H:$H)</f>
        <v/>
      </c>
      <c r="K9" s="4">
        <f>COUNTIFS('03 Feature Backlog'!$A:$A,$A9,'03 Feature Backlog'!$J:$J,"Done")</f>
        <v/>
      </c>
      <c r="L9" s="5">
        <f>IFERROR(K9/I9,0)</f>
        <v/>
      </c>
    </row>
    <row r="10" ht="34.5" customHeight="1" s="38">
      <c r="A10" s="51" t="inlineStr">
        <is>
          <t>M07</t>
        </is>
      </c>
      <c r="B10" s="51" t="inlineStr">
        <is>
          <t>Paper Rendering &amp; Export</t>
        </is>
      </c>
      <c r="C10" s="51" t="inlineStr">
        <is>
          <t>P1 Core</t>
        </is>
      </c>
      <c r="D10" s="51" t="inlineStr">
        <is>
          <t>Themed HTML + print-ready A4 PDF with rough-work column, answer key, marking scheme, concept coverage table.</t>
        </is>
      </c>
      <c r="E10" s="51" t="inlineStr">
        <is>
          <t>PDF identical to school paper format</t>
        </is>
      </c>
      <c r="F10" s="51" t="inlineStr">
        <is>
          <t>M06</t>
        </is>
      </c>
      <c r="G10" s="51" t="inlineStr">
        <is>
          <t>P0</t>
        </is>
      </c>
      <c r="H10" s="51" t="inlineStr">
        <is>
          <t>Server-side PDF; template engine needed</t>
        </is>
      </c>
      <c r="I10" s="4">
        <f>COUNTIF('03 Feature Backlog'!$A:$A,$A10)</f>
        <v/>
      </c>
      <c r="J10" s="4">
        <f>SUMIF('03 Feature Backlog'!$A:$A,$A10,'03 Feature Backlog'!$H:$H)</f>
        <v/>
      </c>
      <c r="K10" s="4">
        <f>COUNTIFS('03 Feature Backlog'!$A:$A,$A10,'03 Feature Backlog'!$J:$J,"Done")</f>
        <v/>
      </c>
      <c r="L10" s="5">
        <f>IFERROR(K10/I10,0)</f>
        <v/>
      </c>
    </row>
    <row r="11" ht="23.25" customHeight="1" s="38">
      <c r="A11" s="51" t="inlineStr">
        <is>
          <t>M08</t>
        </is>
      </c>
      <c r="B11" s="51" t="inlineStr">
        <is>
          <t>Online Test Engine</t>
        </is>
      </c>
      <c r="C11" s="51" t="inlineStr">
        <is>
          <t>P1 Core</t>
        </is>
      </c>
      <c r="D11" s="51" t="inlineStr">
        <is>
          <t>Timed on-screen attempt, autosave, resume, section navigation, review-before-submit.</t>
        </is>
      </c>
      <c r="E11" s="51" t="inlineStr">
        <is>
          <t>Attempt captured with per-question timing</t>
        </is>
      </c>
      <c r="F11" s="51" t="inlineStr">
        <is>
          <t>M05</t>
        </is>
      </c>
      <c r="G11" s="51" t="inlineStr">
        <is>
          <t>P0</t>
        </is>
      </c>
      <c r="H11" s="51" t="inlineStr">
        <is>
          <t>Prototype has a basic exam.take flow</t>
        </is>
      </c>
      <c r="I11" s="4">
        <f>COUNTIF('03 Feature Backlog'!$A:$A,$A11)</f>
        <v/>
      </c>
      <c r="J11" s="4">
        <f>SUMIF('03 Feature Backlog'!$A:$A,$A11,'03 Feature Backlog'!$H:$H)</f>
        <v/>
      </c>
      <c r="K11" s="4">
        <f>COUNTIFS('03 Feature Backlog'!$A:$A,$A11,'03 Feature Backlog'!$J:$J,"Done")</f>
        <v/>
      </c>
      <c r="L11" s="5">
        <f>IFERROR(K11/I11,0)</f>
        <v/>
      </c>
    </row>
    <row r="12" ht="23.25" customHeight="1" s="38">
      <c r="A12" s="51" t="inlineStr">
        <is>
          <t>M09</t>
        </is>
      </c>
      <c r="B12" s="51" t="inlineStr">
        <is>
          <t>Auto-Evaluation Engine</t>
        </is>
      </c>
      <c r="C12" s="51" t="inlineStr">
        <is>
          <t>P1 Core</t>
        </is>
      </c>
      <c r="D12" s="51" t="inlineStr">
        <is>
          <t>Objective auto-scoring, subjective rubric scoring with AI, step-mark allocation, human override.</t>
        </is>
      </c>
      <c r="E12" s="51" t="inlineStr">
        <is>
          <t>Marks + error type per question, always overridable</t>
        </is>
      </c>
      <c r="F12" s="51" t="inlineStr">
        <is>
          <t>M08</t>
        </is>
      </c>
      <c r="G12" s="51" t="inlineStr">
        <is>
          <t>P0</t>
        </is>
      </c>
      <c r="H12" s="51" t="inlineStr">
        <is>
          <t>Prototype scores MCQ/fill only</t>
        </is>
      </c>
      <c r="I12" s="4">
        <f>COUNTIF('03 Feature Backlog'!$A:$A,$A12)</f>
        <v/>
      </c>
      <c r="J12" s="4">
        <f>SUMIF('03 Feature Backlog'!$A:$A,$A12,'03 Feature Backlog'!$H:$H)</f>
        <v/>
      </c>
      <c r="K12" s="4">
        <f>COUNTIFS('03 Feature Backlog'!$A:$A,$A12,'03 Feature Backlog'!$J:$J,"Done")</f>
        <v/>
      </c>
      <c r="L12" s="5">
        <f>IFERROR(K12/I12,0)</f>
        <v/>
      </c>
    </row>
    <row r="13" ht="23.25" customHeight="1" s="38">
      <c r="A13" s="51" t="inlineStr">
        <is>
          <t>M10</t>
        </is>
      </c>
      <c r="B13" s="51" t="inlineStr">
        <is>
          <t>Upload &amp; Handwriting OCR</t>
        </is>
      </c>
      <c r="C13" s="51" t="inlineStr">
        <is>
          <t>P2 Diagnostics</t>
        </is>
      </c>
      <c r="D13" s="51" t="inlineStr">
        <is>
          <t>Photo/PDF upload of written attempt, page-to-question mapping, vision extraction, ambiguity flagging.</t>
        </is>
      </c>
      <c r="E13" s="51" t="inlineStr">
        <is>
          <t>Handwritten paper converted to reviewable answers</t>
        </is>
      </c>
      <c r="F13" s="51" t="inlineStr">
        <is>
          <t>M09</t>
        </is>
      </c>
      <c r="G13" s="51" t="inlineStr">
        <is>
          <t>P1</t>
        </is>
      </c>
      <c r="H13" s="51" t="inlineStr">
        <is>
          <t>Highest technical risk</t>
        </is>
      </c>
      <c r="I13" s="4">
        <f>COUNTIF('03 Feature Backlog'!$A:$A,$A13)</f>
        <v/>
      </c>
      <c r="J13" s="4">
        <f>SUMIF('03 Feature Backlog'!$A:$A,$A13,'03 Feature Backlog'!$H:$H)</f>
        <v/>
      </c>
      <c r="K13" s="4">
        <f>COUNTIFS('03 Feature Backlog'!$A:$A,$A13,'03 Feature Backlog'!$J:$J,"Done")</f>
        <v/>
      </c>
      <c r="L13" s="5">
        <f>IFERROR(K13/I13,0)</f>
        <v/>
      </c>
    </row>
    <row r="14" ht="23.25" customHeight="1" s="38">
      <c r="A14" s="51" t="inlineStr">
        <is>
          <t>M11</t>
        </is>
      </c>
      <c r="B14" s="51" t="inlineStr">
        <is>
          <t>Diagnostic Engine</t>
        </is>
      </c>
      <c r="C14" s="51" t="inlineStr">
        <is>
          <t>P2 Diagnostics</t>
        </is>
      </c>
      <c r="D14" s="51" t="inlineStr">
        <is>
          <t>Actual vs Knowledge score, Delivery Gap, error patterns P1-P6, presentation habits H1-H10.</t>
        </is>
      </c>
      <c r="E14" s="51" t="inlineStr">
        <is>
          <t>Diagnosis report per paper</t>
        </is>
      </c>
      <c r="F14" s="51" t="inlineStr">
        <is>
          <t>M09</t>
        </is>
      </c>
      <c r="G14" s="51" t="inlineStr">
        <is>
          <t>P0</t>
        </is>
      </c>
      <c r="H14" s="51" t="inlineStr">
        <is>
          <t>The intellectual heart of the product</t>
        </is>
      </c>
      <c r="I14" s="4">
        <f>COUNTIF('03 Feature Backlog'!$A:$A,$A14)</f>
        <v/>
      </c>
      <c r="J14" s="4">
        <f>SUMIF('03 Feature Backlog'!$A:$A,$A14,'03 Feature Backlog'!$H:$H)</f>
        <v/>
      </c>
      <c r="K14" s="4">
        <f>COUNTIFS('03 Feature Backlog'!$A:$A,$A14,'03 Feature Backlog'!$J:$J,"Done")</f>
        <v/>
      </c>
      <c r="L14" s="5">
        <f>IFERROR(K14/I14,0)</f>
        <v/>
      </c>
    </row>
    <row r="15" ht="23.25" customHeight="1" s="38">
      <c r="A15" s="51" t="inlineStr">
        <is>
          <t>M12</t>
        </is>
      </c>
      <c r="B15" s="51" t="inlineStr">
        <is>
          <t>Concept Tracker &amp; Mastery</t>
        </is>
      </c>
      <c r="C15" s="51" t="inlineStr">
        <is>
          <t>P1 Core</t>
        </is>
      </c>
      <c r="D15" s="51" t="inlineStr">
        <is>
          <t>Running per-concept log, trend arrows, priority flag rules, maintenance/retire rules.</t>
        </is>
      </c>
      <c r="E15" s="51" t="inlineStr">
        <is>
          <t>Cumulative tracker driving paper weighting</t>
        </is>
      </c>
      <c r="F15" s="51" t="inlineStr">
        <is>
          <t>M09</t>
        </is>
      </c>
      <c r="G15" s="51" t="inlineStr">
        <is>
          <t>P0</t>
        </is>
      </c>
      <c r="H15" s="51" t="inlineStr">
        <is>
          <t>Prototype mastery engine is a good base</t>
        </is>
      </c>
      <c r="I15" s="4">
        <f>COUNTIF('03 Feature Backlog'!$A:$A,$A15)</f>
        <v/>
      </c>
      <c r="J15" s="4">
        <f>SUMIF('03 Feature Backlog'!$A:$A,$A15,'03 Feature Backlog'!$H:$H)</f>
        <v/>
      </c>
      <c r="K15" s="4">
        <f>COUNTIFS('03 Feature Backlog'!$A:$A,$A15,'03 Feature Backlog'!$J:$J,"Done")</f>
        <v/>
      </c>
      <c r="L15" s="5">
        <f>IFERROR(K15/I15,0)</f>
        <v/>
      </c>
    </row>
    <row r="16" ht="23.25" customHeight="1" s="38">
      <c r="A16" s="51" t="inlineStr">
        <is>
          <t>M13</t>
        </is>
      </c>
      <c r="B16" s="51" t="inlineStr">
        <is>
          <t>Remediation Engine</t>
        </is>
      </c>
      <c r="C16" s="51" t="inlineStr">
        <is>
          <t>P2 Diagnostics</t>
        </is>
      </c>
      <c r="D16" s="51" t="inlineStr">
        <is>
          <t>Auto 4-step remediation: refresher, solved examples, 3 practice questions, evaluate loop; spaced re-test.</t>
        </is>
      </c>
      <c r="E16" s="51" t="inlineStr">
        <is>
          <t>Weak concept triggers a drill without being asked</t>
        </is>
      </c>
      <c r="F16" s="51" t="inlineStr">
        <is>
          <t>M11, M12</t>
        </is>
      </c>
      <c r="G16" s="51" t="inlineStr">
        <is>
          <t>P1</t>
        </is>
      </c>
      <c r="H16" s="51" t="inlineStr">
        <is>
          <t>Rules already specified in the tutor spec</t>
        </is>
      </c>
      <c r="I16" s="4">
        <f>COUNTIF('03 Feature Backlog'!$A:$A,$A16)</f>
        <v/>
      </c>
      <c r="J16" s="4">
        <f>SUMIF('03 Feature Backlog'!$A:$A,$A16,'03 Feature Backlog'!$H:$H)</f>
        <v/>
      </c>
      <c r="K16" s="4">
        <f>COUNTIFS('03 Feature Backlog'!$A:$A,$A16,'03 Feature Backlog'!$J:$J,"Done")</f>
        <v/>
      </c>
      <c r="L16" s="5">
        <f>IFERROR(K16/I16,0)</f>
        <v/>
      </c>
    </row>
    <row r="17" ht="23.25" customHeight="1" s="38">
      <c r="A17" s="51" t="inlineStr">
        <is>
          <t>M14</t>
        </is>
      </c>
      <c r="B17" s="51" t="inlineStr">
        <is>
          <t>Reports &amp; Dashboards</t>
        </is>
      </c>
      <c r="C17" s="51" t="inlineStr">
        <is>
          <t>P2 Diagnostics</t>
        </is>
      </c>
      <c r="D17" s="51" t="inlineStr">
        <is>
          <t>Parent dashboard, student dashboard, per-paper report, weekly summary, printable/shareable report.</t>
        </is>
      </c>
      <c r="E17" s="51" t="inlineStr">
        <is>
          <t>Weekly summary generated automatically</t>
        </is>
      </c>
      <c r="F17" s="51" t="inlineStr">
        <is>
          <t>M11</t>
        </is>
      </c>
      <c r="G17" s="51" t="inlineStr">
        <is>
          <t>P0</t>
        </is>
      </c>
      <c r="H17" s="51" t="inlineStr">
        <is>
          <t>Prototype home/mastery pages partly reusable</t>
        </is>
      </c>
      <c r="I17" s="4">
        <f>COUNTIF('03 Feature Backlog'!$A:$A,$A17)</f>
        <v/>
      </c>
      <c r="J17" s="4">
        <f>SUMIF('03 Feature Backlog'!$A:$A,$A17,'03 Feature Backlog'!$H:$H)</f>
        <v/>
      </c>
      <c r="K17" s="4">
        <f>COUNTIFS('03 Feature Backlog'!$A:$A,$A17,'03 Feature Backlog'!$J:$J,"Done")</f>
        <v/>
      </c>
      <c r="L17" s="5">
        <f>IFERROR(K17/I17,0)</f>
        <v/>
      </c>
    </row>
    <row r="18" ht="23.25" customHeight="1" s="38">
      <c r="A18" s="51" t="inlineStr">
        <is>
          <t>M15</t>
        </is>
      </c>
      <c r="B18" s="51" t="inlineStr">
        <is>
          <t>Study Planner</t>
        </is>
      </c>
      <c r="C18" s="51" t="inlineStr">
        <is>
          <t>P3 Engagement</t>
        </is>
      </c>
      <c r="D18" s="51" t="inlineStr">
        <is>
          <t>7-day plan generator, exam countdown, daily task list, streaks.</t>
        </is>
      </c>
      <c r="E18" s="51" t="inlineStr">
        <is>
          <t>Plan regenerates from current weak concepts</t>
        </is>
      </c>
      <c r="F18" s="51" t="inlineStr">
        <is>
          <t>M12</t>
        </is>
      </c>
      <c r="G18" s="51" t="inlineStr">
        <is>
          <t>P2</t>
        </is>
      </c>
      <c r="H18" s="51" t="inlineStr">
        <is>
          <t>Ties weekly summary to daily action</t>
        </is>
      </c>
      <c r="I18" s="4">
        <f>COUNTIF('03 Feature Backlog'!$A:$A,$A18)</f>
        <v/>
      </c>
      <c r="J18" s="4">
        <f>SUMIF('03 Feature Backlog'!$A:$A,$A18,'03 Feature Backlog'!$H:$H)</f>
        <v/>
      </c>
      <c r="K18" s="4">
        <f>COUNTIFS('03 Feature Backlog'!$A:$A,$A18,'03 Feature Backlog'!$J:$J,"Done")</f>
        <v/>
      </c>
      <c r="L18" s="5">
        <f>IFERROR(K18/I18,0)</f>
        <v/>
      </c>
    </row>
    <row r="19" ht="23.25" customHeight="1" s="38">
      <c r="A19" s="51" t="inlineStr">
        <is>
          <t>M16</t>
        </is>
      </c>
      <c r="B19" s="51" t="inlineStr">
        <is>
          <t>Notifications &amp; Nudges</t>
        </is>
      </c>
      <c r="C19" s="51" t="inlineStr">
        <is>
          <t>P3 Engagement</t>
        </is>
      </c>
      <c r="D19" s="51" t="inlineStr">
        <is>
          <t>Email/WhatsApp: paper ready, evaluation done, daily parent action, weekly summary.</t>
        </is>
      </c>
      <c r="E19" s="51" t="inlineStr">
        <is>
          <t>One parent action delivered per day</t>
        </is>
      </c>
      <c r="F19" s="51" t="inlineStr">
        <is>
          <t>M14</t>
        </is>
      </c>
      <c r="G19" s="51" t="inlineStr">
        <is>
          <t>P2</t>
        </is>
      </c>
      <c r="H19" s="51" t="inlineStr">
        <is>
          <t>WhatsApp needs BSP account</t>
        </is>
      </c>
      <c r="I19" s="4">
        <f>COUNTIF('03 Feature Backlog'!$A:$A,$A19)</f>
        <v/>
      </c>
      <c r="J19" s="4">
        <f>SUMIF('03 Feature Backlog'!$A:$A,$A19,'03 Feature Backlog'!$H:$H)</f>
        <v/>
      </c>
      <c r="K19" s="4">
        <f>COUNTIFS('03 Feature Backlog'!$A:$A,$A19,'03 Feature Backlog'!$J:$J,"Done")</f>
        <v/>
      </c>
      <c r="L19" s="5">
        <f>IFERROR(K19/I19,0)</f>
        <v/>
      </c>
    </row>
    <row r="20" ht="23.25" customHeight="1" s="38">
      <c r="A20" s="51" t="inlineStr">
        <is>
          <t>M17</t>
        </is>
      </c>
      <c r="B20" s="51" t="inlineStr">
        <is>
          <t>Admin &amp; Content Ops</t>
        </is>
      </c>
      <c r="C20" s="51" t="inlineStr">
        <is>
          <t>P3 Engagement</t>
        </is>
      </c>
      <c r="D20" s="51" t="inlineStr">
        <is>
          <t>Source PDF ingestion, chapter scope authoring, question review queue, AI-generated question approval.</t>
        </is>
      </c>
      <c r="E20" s="51" t="inlineStr">
        <is>
          <t>Content pipeline that does not need a developer</t>
        </is>
      </c>
      <c r="F20" s="51" t="inlineStr">
        <is>
          <t>M05</t>
        </is>
      </c>
      <c r="G20" s="51" t="inlineStr">
        <is>
          <t>P1</t>
        </is>
      </c>
      <c r="H20" s="51" t="inlineStr">
        <is>
          <t>Prevents you becoming the bottleneck</t>
        </is>
      </c>
      <c r="I20" s="4">
        <f>COUNTIF('03 Feature Backlog'!$A:$A,$A20)</f>
        <v/>
      </c>
      <c r="J20" s="4">
        <f>SUMIF('03 Feature Backlog'!$A:$A,$A20,'03 Feature Backlog'!$H:$H)</f>
        <v/>
      </c>
      <c r="K20" s="4">
        <f>COUNTIFS('03 Feature Backlog'!$A:$A,$A20,'03 Feature Backlog'!$J:$J,"Done")</f>
        <v/>
      </c>
      <c r="L20" s="5">
        <f>IFERROR(K20/I20,0)</f>
        <v/>
      </c>
    </row>
    <row r="21" ht="23.25" customHeight="1" s="38">
      <c r="A21" s="51" t="inlineStr">
        <is>
          <t>M18</t>
        </is>
      </c>
      <c r="B21" s="51" t="inlineStr">
        <is>
          <t>Telugu &amp; Multilingual</t>
        </is>
      </c>
      <c r="C21" s="51" t="inlineStr">
        <is>
          <t>P3 Engagement</t>
        </is>
      </c>
      <c r="D21" s="51" t="inlineStr">
        <is>
          <t>Unicode fonts, script validation, Telugu grammar tagging (sandhulu/samasalu/alankaralu), bilingual UI strings.</t>
        </is>
      </c>
      <c r="E21" s="51" t="inlineStr">
        <is>
          <t>Telugu paper renders and prints correctly</t>
        </is>
      </c>
      <c r="F21" s="51" t="inlineStr">
        <is>
          <t>M07</t>
        </is>
      </c>
      <c r="G21" s="51" t="inlineStr">
        <is>
          <t>P1</t>
        </is>
      </c>
      <c r="H21" s="51" t="inlineStr">
        <is>
          <t>Font embedding in PDF is the known pain</t>
        </is>
      </c>
      <c r="I21" s="4">
        <f>COUNTIF('03 Feature Backlog'!$A:$A,$A21)</f>
        <v/>
      </c>
      <c r="J21" s="4">
        <f>SUMIF('03 Feature Backlog'!$A:$A,$A21,'03 Feature Backlog'!$H:$H)</f>
        <v/>
      </c>
      <c r="K21" s="4">
        <f>COUNTIFS('03 Feature Backlog'!$A:$A,$A21,'03 Feature Backlog'!$J:$J,"Done")</f>
        <v/>
      </c>
      <c r="L21" s="5">
        <f>IFERROR(K21/I21,0)</f>
        <v/>
      </c>
    </row>
    <row r="22" ht="23.25" customHeight="1" s="38">
      <c r="A22" s="51" t="inlineStr">
        <is>
          <t>M19</t>
        </is>
      </c>
      <c r="B22" s="51" t="inlineStr">
        <is>
          <t>Analytics, Cost &amp; Observability</t>
        </is>
      </c>
      <c r="C22" s="51" t="inlineStr">
        <is>
          <t>P4 Hardening</t>
        </is>
      </c>
      <c r="D22" s="51" t="inlineStr">
        <is>
          <t>AI token metering per call, cost dashboard, rate limits, product analytics, structured logs.</t>
        </is>
      </c>
      <c r="E22" s="51" t="inlineStr">
        <is>
          <t>Cost per paper visible and capped</t>
        </is>
      </c>
      <c r="F22" s="51" t="inlineStr">
        <is>
          <t>M09</t>
        </is>
      </c>
      <c r="G22" s="51" t="inlineStr">
        <is>
          <t>P1</t>
        </is>
      </c>
      <c r="H22" s="51" t="inlineStr">
        <is>
          <t>Without this, AI spend is unbounded</t>
        </is>
      </c>
      <c r="I22" s="4">
        <f>COUNTIF('03 Feature Backlog'!$A:$A,$A22)</f>
        <v/>
      </c>
      <c r="J22" s="4">
        <f>SUMIF('03 Feature Backlog'!$A:$A,$A22,'03 Feature Backlog'!$H:$H)</f>
        <v/>
      </c>
      <c r="K22" s="4">
        <f>COUNTIFS('03 Feature Backlog'!$A:$A,$A22,'03 Feature Backlog'!$J:$J,"Done")</f>
        <v/>
      </c>
      <c r="L22" s="5">
        <f>IFERROR(K22/I22,0)</f>
        <v/>
      </c>
    </row>
    <row r="23" ht="23.25" customHeight="1" s="38">
      <c r="A23" s="51" t="inlineStr">
        <is>
          <t>M20</t>
        </is>
      </c>
      <c r="B23" s="51" t="inlineStr">
        <is>
          <t>Security, Privacy &amp; Compliance</t>
        </is>
      </c>
      <c r="C23" s="51" t="inlineStr">
        <is>
          <t>P4 Hardening</t>
        </is>
      </c>
      <c r="D23" s="51" t="inlineStr">
        <is>
          <t>DPDP consent, encryption, RLS/tenant isolation, retention, export and delete, audit log.</t>
        </is>
      </c>
      <c r="E23" s="51" t="inlineStr">
        <is>
          <t>Legally shippable to a family other than your own</t>
        </is>
      </c>
      <c r="F23" s="51" t="inlineStr">
        <is>
          <t>M02</t>
        </is>
      </c>
      <c r="G23" s="51" t="inlineStr">
        <is>
          <t>P0</t>
        </is>
      </c>
      <c r="H23" s="51" t="inlineStr">
        <is>
          <t>Blocker for any external user</t>
        </is>
      </c>
      <c r="I23" s="4">
        <f>COUNTIF('03 Feature Backlog'!$A:$A,$A23)</f>
        <v/>
      </c>
      <c r="J23" s="4">
        <f>SUMIF('03 Feature Backlog'!$A:$A,$A23,'03 Feature Backlog'!$H:$H)</f>
        <v/>
      </c>
      <c r="K23" s="4">
        <f>COUNTIFS('03 Feature Backlog'!$A:$A,$A23,'03 Feature Backlog'!$J:$J,"Done")</f>
        <v/>
      </c>
      <c r="L23" s="5">
        <f>IFERROR(K23/I23,0)</f>
        <v/>
      </c>
    </row>
    <row r="24" ht="15" customHeight="1" s="38">
      <c r="A24" s="51" t="inlineStr">
        <is>
          <t>M21</t>
        </is>
      </c>
      <c r="B24" s="51" t="inlineStr">
        <is>
          <t>Billing &amp; Multi-tenancy</t>
        </is>
      </c>
      <c r="C24" s="51" t="inlineStr">
        <is>
          <t>P4 Hardening</t>
        </is>
      </c>
      <c r="D24" s="51" t="inlineStr">
        <is>
          <t>Plans, usage limits, payment, tenant isolation, invoices.</t>
        </is>
      </c>
      <c r="E24" s="51" t="inlineStr">
        <is>
          <t>Second paying household onboarded</t>
        </is>
      </c>
      <c r="F24" s="51" t="inlineStr">
        <is>
          <t>M20</t>
        </is>
      </c>
      <c r="G24" s="51" t="inlineStr">
        <is>
          <t>P3</t>
        </is>
      </c>
      <c r="H24" s="51" t="inlineStr">
        <is>
          <t>Only if commercialising</t>
        </is>
      </c>
      <c r="I24" s="4">
        <f>COUNTIF('03 Feature Backlog'!$A:$A,$A24)</f>
        <v/>
      </c>
      <c r="J24" s="4">
        <f>SUMIF('03 Feature Backlog'!$A:$A,$A24,'03 Feature Backlog'!$H:$H)</f>
        <v/>
      </c>
      <c r="K24" s="4">
        <f>COUNTIFS('03 Feature Backlog'!$A:$A,$A24,'03 Feature Backlog'!$J:$J,"Done")</f>
        <v/>
      </c>
      <c r="L24" s="5">
        <f>IFERROR(K24/I24,0)</f>
        <v/>
      </c>
    </row>
    <row r="25" ht="23.25" customHeight="1" s="38">
      <c r="A25" s="51" t="inlineStr">
        <is>
          <t>M22</t>
        </is>
      </c>
      <c r="B25" s="51" t="inlineStr">
        <is>
          <t>QA, Testing &amp; Launch</t>
        </is>
      </c>
      <c r="C25" s="51" t="inlineStr">
        <is>
          <t>P4 Hardening</t>
        </is>
      </c>
      <c r="D25" s="51" t="inlineStr">
        <is>
          <t>Unit/integration/E2E, AI accuracy harness, UAT with real papers, launch checklist.</t>
        </is>
      </c>
      <c r="E25" s="51" t="inlineStr">
        <is>
          <t>Green suite + 20-paper accuracy benchmark</t>
        </is>
      </c>
      <c r="F25" s="51" t="inlineStr">
        <is>
          <t>All</t>
        </is>
      </c>
      <c r="G25" s="51" t="inlineStr">
        <is>
          <t>P0</t>
        </is>
      </c>
      <c r="H25" s="51" t="inlineStr">
        <is>
          <t>Accuracy harness is non-negotiable</t>
        </is>
      </c>
      <c r="I25" s="4">
        <f>COUNTIF('03 Feature Backlog'!$A:$A,$A25)</f>
        <v/>
      </c>
      <c r="J25" s="4">
        <f>SUMIF('03 Feature Backlog'!$A:$A,$A25,'03 Feature Backlog'!$H:$H)</f>
        <v/>
      </c>
      <c r="K25" s="4">
        <f>COUNTIFS('03 Feature Backlog'!$A:$A,$A25,'03 Feature Backlog'!$J:$J,"Done")</f>
        <v/>
      </c>
      <c r="L25" s="5">
        <f>IFERROR(K25/I25,0)</f>
        <v/>
      </c>
    </row>
    <row r="26" ht="15" customHeight="1" s="38">
      <c r="H26" s="6" t="inlineStr">
        <is>
          <t>TOTAL</t>
        </is>
      </c>
      <c r="I26" s="6">
        <f>SUM(I4:I25)</f>
        <v/>
      </c>
      <c r="J26" s="6">
        <f>SUM(J4:J25)</f>
        <v/>
      </c>
      <c r="K26" s="6">
        <f>SUM(K4:K25)</f>
        <v/>
      </c>
      <c r="L26" s="7">
        <f>IFERROR(K26/I26,0)</f>
        <v/>
      </c>
    </row>
  </sheetData>
  <autoFilter ref="A3:L25"/>
  <mergeCells count="1">
    <mergeCell ref="A1:L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K135"/>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10" customWidth="1" style="38" min="1" max="2"/>
    <col width="34" customWidth="1" style="38" min="3" max="3"/>
    <col width="52" customWidth="1" style="38" min="4" max="4"/>
    <col width="78" customWidth="1" style="38" min="5" max="5"/>
    <col width="9" customWidth="1" style="38" min="6" max="6"/>
    <col width="11" customWidth="1" style="38" min="7" max="7"/>
    <col width="9" customWidth="1" style="38" min="8" max="9"/>
    <col width="13" customWidth="1" style="38" min="10" max="10"/>
    <col width="26" customWidth="1" style="38" min="11" max="11"/>
  </cols>
  <sheetData>
    <row r="1" ht="24" customHeight="1" s="38">
      <c r="A1" s="42" t="inlineStr">
        <is>
          <t>03  Feature Backlog  —  132 features. Type Not Started / In Progress / Blocked / Done in column J.</t>
        </is>
      </c>
    </row>
    <row r="3" ht="30" customHeight="1" s="38">
      <c r="A3" s="2" t="inlineStr">
        <is>
          <t>Module ID</t>
        </is>
      </c>
      <c r="B3" s="2" t="inlineStr">
        <is>
          <t>Feature ID</t>
        </is>
      </c>
      <c r="C3" s="2" t="inlineStr">
        <is>
          <t>Feature</t>
        </is>
      </c>
      <c r="D3" s="2" t="inlineStr">
        <is>
          <t>User Story</t>
        </is>
      </c>
      <c r="E3" s="2" t="inlineStr">
        <is>
          <t>Acceptance Criteria</t>
        </is>
      </c>
      <c r="F3" s="2" t="inlineStr">
        <is>
          <t>Priority</t>
        </is>
      </c>
      <c r="G3" s="2" t="inlineStr">
        <is>
          <t>Complexity</t>
        </is>
      </c>
      <c r="H3" s="2" t="inlineStr">
        <is>
          <t>Est. Days</t>
        </is>
      </c>
      <c r="I3" s="2" t="inlineStr">
        <is>
          <t>Sprint</t>
        </is>
      </c>
      <c r="J3" s="2" t="inlineStr">
        <is>
          <t>Status</t>
        </is>
      </c>
      <c r="K3" s="2" t="inlineStr">
        <is>
          <t>Notes</t>
        </is>
      </c>
    </row>
    <row r="4" ht="23.25" customHeight="1" s="38">
      <c r="A4" s="51" t="inlineStr">
        <is>
          <t>M01</t>
        </is>
      </c>
      <c r="B4" s="51" t="inlineStr">
        <is>
          <t>F001</t>
        </is>
      </c>
      <c r="C4" s="51" t="inlineStr">
        <is>
          <t>Repo &amp; monorepo setup</t>
        </is>
      </c>
      <c r="D4" s="51" t="inlineStr">
        <is>
          <t>As a developer I want a clean repo so that work is versioned and reviewable.</t>
        </is>
      </c>
      <c r="E4" s="51" t="inlineStr">
        <is>
          <t>Repo initialised, branch protection on main, PR template, conventional commits, README with local setup that works from a cold clone.</t>
        </is>
      </c>
      <c r="F4" s="4" t="inlineStr">
        <is>
          <t>P0</t>
        </is>
      </c>
      <c r="G4" s="4" t="inlineStr">
        <is>
          <t>S</t>
        </is>
      </c>
      <c r="H4" s="4" t="n">
        <v>1</v>
      </c>
      <c r="I4" s="4" t="inlineStr">
        <is>
          <t>S1</t>
        </is>
      </c>
      <c r="J4" s="8" t="inlineStr">
        <is>
          <t>Done</t>
        </is>
      </c>
      <c r="K4" s="51" t="inlineStr">
        <is>
          <t>Repo initialised, PR template + conventional-commit convention in place. GitHub remote set up (sathyaantham2-wq/examprep-ai-, pushed 2026-09-16). Branch protection on main now requires the Vercel status check to pass before merge (see F003).</t>
        </is>
      </c>
    </row>
    <row r="5" ht="23.25" customHeight="1" s="38">
      <c r="A5" s="51" t="inlineStr">
        <is>
          <t>M01</t>
        </is>
      </c>
      <c r="B5" s="51" t="inlineStr">
        <is>
          <t>F002</t>
        </is>
      </c>
      <c r="C5" s="51" t="inlineStr">
        <is>
          <t>Environment &amp; secrets management</t>
        </is>
      </c>
      <c r="D5" s="51" t="inlineStr">
        <is>
          <t>As a developer I want typed env vars so that misconfiguration fails loudly at boot.</t>
        </is>
      </c>
      <c r="E5" s="51" t="inlineStr">
        <is>
          <t>Zod-validated env schema; app refuses to start on missing keys; .env.example committed; secrets stored in Vercel, never in git.</t>
        </is>
      </c>
      <c r="F5" s="4" t="inlineStr">
        <is>
          <t>P0</t>
        </is>
      </c>
      <c r="G5" s="4" t="inlineStr">
        <is>
          <t>S</t>
        </is>
      </c>
      <c r="H5" s="4" t="n">
        <v>1</v>
      </c>
      <c r="I5" s="4" t="inlineStr">
        <is>
          <t>S1</t>
        </is>
      </c>
      <c r="J5" s="8" t="inlineStr">
        <is>
          <t>Done</t>
        </is>
      </c>
      <c r="K5" s="51" t="inlineStr">
        <is>
          <t>src/lib/env.ts: a single Zod schema for every env var actually read anywhere in the codebase (DATABASE_URL, BETTER_AUTH_SECRET/URL required; GOOGLE_CLIENT_ID/SECRET and ANTHROPIC_API_KEY optional, matching their documented graceful-degradation paths). Replaced every scattered process.env.X read (connection.ts, auth-pool.ts, auth.ts, ai-grading.ts) with this validated object. Verified live: booting with BETTER_AUTH_SECRET removed throws immediately with the exact missing key named, not a confusing failure deep in a request; booting normally still works, confirmed via a live dev-server request. .env.example already existed and now documents ANTHROPIC_API_KEY too. "Secrets stored in Vercel, never in git" -- .env is already gitignored (verified back in F001) and no secret has been committed at any point this project.</t>
        </is>
      </c>
    </row>
    <row r="6" ht="23.25" customHeight="1" s="38">
      <c r="A6" s="51" t="inlineStr">
        <is>
          <t>M01</t>
        </is>
      </c>
      <c r="B6" s="51" t="inlineStr">
        <is>
          <t>F003</t>
        </is>
      </c>
      <c r="C6" s="51" t="inlineStr">
        <is>
          <t>Vercel preview + production pipeline</t>
        </is>
      </c>
      <c r="D6" s="51" t="inlineStr">
        <is>
          <t>As a team I want every PR to deploy a preview so that changes are reviewed live.</t>
        </is>
      </c>
      <c r="E6" s="51" t="inlineStr">
        <is>
          <t>PR opens a preview URL; main deploys to production; build fails block merge.</t>
        </is>
      </c>
      <c r="F6" s="4" t="inlineStr">
        <is>
          <t>P0</t>
        </is>
      </c>
      <c r="G6" s="4" t="inlineStr">
        <is>
          <t>S</t>
        </is>
      </c>
      <c r="H6" s="4" t="n">
        <v>1</v>
      </c>
      <c r="I6" s="4" t="inlineStr">
        <is>
          <t>S1</t>
        </is>
      </c>
      <c r="J6" s="8" t="inlineStr">
        <is>
          <t>Done</t>
        </is>
      </c>
      <c r="K6" s="51" t="inlineStr">
        <is>
          <t>Repo pushed to GitHub (sathyaantham2-wq/examprep-ai-) and connected to Vercel. Verified live: push to main deploys production, a real PR (#1) produced a real preview URL and merged cleanly. Branch protection on main now requires the examprep-ai Vercel check to pass before merge (set up 2026-09-16). One loose end, not blocking: a duplicate Vercel project (examprep-ai-, trailing hyphen) still exists from setup -- harmless (both point at the same repo/commits) but should be deleted via the Vercel dashboard when convenient; no delete capability was available via the connected Vercel MCP connector to do it directly.</t>
        </is>
      </c>
    </row>
    <row r="7" ht="23.25" customHeight="1" s="38">
      <c r="A7" s="51" t="inlineStr">
        <is>
          <t>M01</t>
        </is>
      </c>
      <c r="B7" s="51" t="inlineStr">
        <is>
          <t>F004</t>
        </is>
      </c>
      <c r="C7" s="51" t="inlineStr">
        <is>
          <t>Error tracking &amp; structured logging</t>
        </is>
      </c>
      <c r="D7" s="51" t="inlineStr">
        <is>
          <t>As a developer I want server errors captured so that failures are not silent.</t>
        </is>
      </c>
      <c r="E7" s="51" t="inlineStr">
        <is>
          <t>Sentry (or equivalent) capturing client + server errors with release tagging; request-scoped log IDs.</t>
        </is>
      </c>
      <c r="F7" s="4" t="inlineStr">
        <is>
          <t>P1</t>
        </is>
      </c>
      <c r="G7" s="4" t="inlineStr">
        <is>
          <t>S</t>
        </is>
      </c>
      <c r="H7" s="4" t="n">
        <v>1</v>
      </c>
      <c r="I7" s="4" t="inlineStr">
        <is>
          <t>S2</t>
        </is>
      </c>
      <c r="J7" s="8" t="inlineStr">
        <is>
          <t>Done</t>
        </is>
      </c>
      <c r="K7" s="51" t="inlineStr">
        <is>
          <t>No Sentry/error-tracking account exists in this dev environment, so error_log (migration 0060) is a self-hosted equivalent, wired the same way Sentry would be. Server: every route handler wrapped via wrapRouteHandlers() -- catches unhandled exceptions, writes one error_log row with a request-scoped UUID (request_id), echoes the same id back in the response header and body. Client: root error boundary (__root.tsx) + a window.onerror/unhandledrejection listener POST the same shape to the new public POST /api/errors route. release column tagged from VERCEL_GIT_COMMIT_SHA (set automatically by Vercel per deploy) -- Vercel-set env var added to env.ts. Verified: 8 unit/integration tests (error-log.test.ts, error-log.integration.test.ts) plus a full-suite regression run (376 tests, 66 files, all green) confirming the mechanical wrapRouteHandlers() rollout across all 65+ route files changed no existing route behaviour. Committed 8399dbb.</t>
        </is>
      </c>
    </row>
    <row r="8" ht="23.25" customHeight="1" s="38">
      <c r="A8" s="51" t="inlineStr">
        <is>
          <t>M01</t>
        </is>
      </c>
      <c r="B8" s="51" t="inlineStr">
        <is>
          <t>F005</t>
        </is>
      </c>
      <c r="C8" s="51" t="inlineStr">
        <is>
          <t>Design system &amp; theming</t>
        </is>
      </c>
      <c r="D8" s="51" t="inlineStr">
        <is>
          <t>As a user I want a consistent interface so that the app feels coherent.</t>
        </is>
      </c>
      <c r="E8" s="51" t="inlineStr">
        <is>
          <t>shadcn/ui + Tailwind tokens, light/dark, typography scale, print stylesheet defined once.</t>
        </is>
      </c>
      <c r="F8" s="4" t="inlineStr">
        <is>
          <t>P1</t>
        </is>
      </c>
      <c r="G8" s="4" t="inlineStr">
        <is>
          <t>M</t>
        </is>
      </c>
      <c r="H8" s="4" t="n">
        <v>2</v>
      </c>
      <c r="I8" s="4" t="inlineStr">
        <is>
          <t>S2</t>
        </is>
      </c>
      <c r="J8" s="8" t="inlineStr">
        <is>
          <t>In Progress</t>
        </is>
      </c>
      <c r="K8" s="51" t="inlineStr">
        <is>
          <t>shadcn/ui is now actually wired in (components.json was configured but nothing had been added yet) -- hand-written Button (5 variants: default/destructive/outline/secondary/ghost/link, 4 sizes) and Card (+ Header/Title/Description/Content/Footer) primitives now live at src/components/ui/, matching the existing "new-york" style config and using the pre-existing cn() helper. A ThemeProvider (next-themes, class-based, system-aware, SSR-safe via suppressHydrationWarning) wraps the whole app in __root.tsx, plus a working ThemeToggle component. A typography scale (.text-display/.text-h1/.text-h2/.text-h3/.text-body/.text-small/.text-caption) is defined once in src/styles.css for every future screen to reuse instead of ad-hoc text-* sizes. A print stylesheet (@media print) flattens colors to black-on-white, drops anything marked .no-print, and cleans up card borders/shadows for printouts -- this covers screens a parent might Ctrl+P directly (e.g. a report page), separate from the existing server-side Playwright PDF pipeline used for generated papers/reports. Also removed roughly 180 lines of dead, unreferenced "ocean/island" decorative CSS (sea-ink/lagoon/palm color variables, island-shell, feature-card, nav-link, site-footer classes) that had been sitting in styles.css since the initial scaffold but were never used by any actual component -- confirmed via grep before removing. The updated homepage (src/routes/index.tsx) exercises all of this (all four button variants, a card, the type scale, the theme toggle) and was verified by hand in a real running dev server: fetched the rendered HTML, confirmed the shadcn button/card classes and data-slot attributes are present, confirmed the inline theme-detection script runs and toggles the "dark" class correctly, confirmed the print media query and type-scale classes are in the served CSS bundle, and confirmed the old dead classes are gone from the served CSS. Full test suite (19 files / 119 tests) still passes after the change, tsc and eslint are clean. No dark-mode-aware redesign of any other screen exists yet (there's only the one placeholder route to redesign so far) -- this lays the foundation tokens/primitives down for the 24 screens in tab06 to build on, not a finished visual identity for the product. No Storybook or visual regression tooling, and no accessibility audit beyond what shadcn's defaults already provide. Marked In Progress rather than Done since a design system isn't really finished until more than one real screen has exercised it.</t>
        </is>
      </c>
    </row>
    <row r="9" ht="23.25" customHeight="1" s="38">
      <c r="A9" s="51" t="inlineStr">
        <is>
          <t>M02</t>
        </is>
      </c>
      <c r="B9" s="51" t="inlineStr">
        <is>
          <t>F006</t>
        </is>
      </c>
      <c r="C9" s="51" t="inlineStr">
        <is>
          <t>Email/password + Google sign-in</t>
        </is>
      </c>
      <c r="D9" s="51" t="inlineStr">
        <is>
          <t>As a parent I want to sign in securely so that my child's data is private.</t>
        </is>
      </c>
      <c r="E9" s="51" t="inlineStr">
        <is>
          <t>better-auth with email+password and Google OAuth; verified email; session cookie httpOnly+secure; logout everywhere.</t>
        </is>
      </c>
      <c r="F9" s="4" t="inlineStr">
        <is>
          <t>P0</t>
        </is>
      </c>
      <c r="G9" s="4" t="inlineStr">
        <is>
          <t>M</t>
        </is>
      </c>
      <c r="H9" s="4" t="n">
        <v>2</v>
      </c>
      <c r="I9" s="4" t="inlineStr">
        <is>
          <t>S1</t>
        </is>
      </c>
      <c r="J9" s="8" t="inlineStr">
        <is>
          <t>Done</t>
        </is>
      </c>
      <c r="K9" s="51" t="inlineStr">
        <is>
          <t>better-auth mounted at /api/auth/$ (catch-all, src/routes/api/auth/$.ts). Email+password with required email verification (verified end-to-end: sign-up -&gt; logged verification link -&gt; verify-email -&gt; sign-in). Google OAuth wired but conditional on GOOGLE_CLIENT_ID/SECRET, which are not set in dev -- needs real credentials before it is testable; the UI has no Google sign-in button yet for the same reason. Session cookie confirmed httpOnly+SameSite=Lax via curl; Secure is added automatically once BETTER_AUTH_URL is https in prod. Sign-out/session endpoints come from betterauth's own router, not hand-written. Resend (M16) does not exist yet, so verification emails are logged server-side, not delivered -- flagged, not silently faked. UI now exists -- see `/` (sign-in/sign-up) and `/onboarding` (add-student wizard), browser-verified end to end including the real email-verification link from the server log.</t>
        </is>
      </c>
    </row>
    <row r="10" ht="23.25" customHeight="1" s="38">
      <c r="A10" s="51" t="inlineStr">
        <is>
          <t>M02</t>
        </is>
      </c>
      <c r="B10" s="51" t="inlineStr">
        <is>
          <t>F007</t>
        </is>
      </c>
      <c r="C10" s="51" t="inlineStr">
        <is>
          <t>Role model (parent / student / admin)</t>
        </is>
      </c>
      <c r="D10" s="51" t="inlineStr">
        <is>
          <t>As a parent I want my child to have a limited login so that they cannot edit marks.</t>
        </is>
      </c>
      <c r="E10" s="51" t="inlineStr">
        <is>
          <t>Role stored on user; route guards server-side, not just client; student role cannot access evaluation-override or admin routes.</t>
        </is>
      </c>
      <c r="F10" s="4" t="inlineStr">
        <is>
          <t>P0</t>
        </is>
      </c>
      <c r="G10" s="4" t="inlineStr">
        <is>
          <t>M</t>
        </is>
      </c>
      <c r="H10" s="4" t="n">
        <v>3</v>
      </c>
      <c r="I10" s="4" t="inlineStr">
        <is>
          <t>S1</t>
        </is>
      </c>
      <c r="J10" s="8" t="inlineStr">
        <is>
          <t>Done</t>
        </is>
      </c>
      <c r="K10" s="51" t="inlineStr">
        <is>
          <t>Role stored on users.role (parent/student/admin), assigned server-side only (better-auth additionalFields role/household_id have input:false; a signup payload cannot set them). src/lib/session.ts requireUser/requireRole enforce auth on the request itself. Verified live: unauthenticated request to GET /api/students -&gt; 401; a directly-seeded student-role user -&gt; 403 on GET and POST /api/students. No admin or evaluation-override route exists yet to test T01 literally against, but the same guard is what any future one will use. -- A parent-facing way to actually create a student's login now exists too (POST /api/students/:id/login + a small /onboarding UI) -- this was new scope, not this ticket's own AC, flagged to and approved by the user rather than silently added; see F010's note for the full context.</t>
        </is>
      </c>
    </row>
    <row r="11" ht="23.25" customHeight="1" s="38">
      <c r="A11" s="51" t="inlineStr">
        <is>
          <t>M02</t>
        </is>
      </c>
      <c r="B11" s="51" t="inlineStr">
        <is>
          <t>F008</t>
        </is>
      </c>
      <c r="C11" s="51" t="inlineStr">
        <is>
          <t>Household &amp; multi-student profiles</t>
        </is>
      </c>
      <c r="D11" s="51" t="inlineStr">
        <is>
          <t>As a parent with two children I want separate profiles so that data never mixes.</t>
        </is>
      </c>
      <c r="E11" s="51" t="inlineStr">
        <is>
          <t>Household owns N students; student switcher in header; every query scoped by student_id; switching cannot leak cached data.</t>
        </is>
      </c>
      <c r="F11" s="4" t="inlineStr">
        <is>
          <t>P0</t>
        </is>
      </c>
      <c r="G11" s="4" t="inlineStr">
        <is>
          <t>M</t>
        </is>
      </c>
      <c r="H11" s="4" t="n">
        <v>3</v>
      </c>
      <c r="I11" s="4" t="inlineStr">
        <is>
          <t>S2</t>
        </is>
      </c>
      <c r="J11" s="8" t="inlineStr">
        <is>
          <t>Done</t>
        </is>
      </c>
      <c r="K11" s="51" t="inlineStr">
        <is>
          <t>GET/POST /api/students and PATCH /api/students/:id (src/routes/api/students.ts, .../students/.ts), all household-scoped via studentsRepository (F013). Verified live with two separate parent signups: parent B's list is empty and never sees parent A's student; parent B's PATCH on parent A's student returns 404, not 403 or a leaked row. UI now exists -- see `/` (sign-in/sign-up) and `/onboarding` (lists existing students, form to add a new one with name/class/board/school/consent), browser-verified end to end including the real email-verification link from the server log. No student switcher in the header yet though -- that's a separate screen from the onboarding wizard and still doesn't exist. -- A parent-facing way to actually create a student's login now exists too (POST /api/students/:id/login + a small /onboarding UI) -- this was new scope, not this ticket's own AC, flagged to and approved by the user rather than silently added; see F010's note for the full context.</t>
        </is>
      </c>
    </row>
    <row r="12" ht="23.25" customHeight="1" s="38">
      <c r="A12" s="51" t="inlineStr">
        <is>
          <t>M02</t>
        </is>
      </c>
      <c r="B12" s="51" t="inlineStr">
        <is>
          <t>F009</t>
        </is>
      </c>
      <c r="C12" s="51" t="inlineStr">
        <is>
          <t>Student profile fields</t>
        </is>
      </c>
      <c r="D12" s="51" t="inlineStr">
        <is>
          <t>As a coach I want class, board, school and roll number stored so that papers carry the right header.</t>
        </is>
      </c>
      <c r="E12" s="51" t="inlineStr">
        <is>
          <t>Profile: name, class, section, roll no, board, school, subjects active, target exam dates; used in paper header automatically.</t>
        </is>
      </c>
      <c r="F12" s="4" t="inlineStr">
        <is>
          <t>P0</t>
        </is>
      </c>
      <c r="G12" s="4" t="inlineStr">
        <is>
          <t>S</t>
        </is>
      </c>
      <c r="H12" s="4" t="n">
        <v>1</v>
      </c>
      <c r="I12" s="4" t="inlineStr">
        <is>
          <t>S2</t>
        </is>
      </c>
      <c r="J12" s="8" t="inlineStr">
        <is>
          <t>Done</t>
        </is>
      </c>
      <c r="K12" s="51" t="inlineStr">
        <is>
          <t>F008's schema already had name/class/section/roll_no/board/school/target_exams -- the real gap was that POST /api/students never accepted section or target_exams at creation, and PATCH /api/students/:id had no target_exams field at all, so a student's target exam dates could never be set or changed after creation (stuck at the hardcoded []). Both routes now accept target_exams as a validated {name, date}[] and POST accepts section too. 'subjects active' is intentionally not modelled: the whole product is single-subject today (CLAUDE.md's launch scope is CBSE Class 7 Maths only, and MATH-SEED is the only subject that has ever existed in this schema), so there is nothing yet for that field to distinguish -- revisit at the tab17 multi-subject rollout, not now. 'used in paper header automatically' already existed before this feature (F033's buildPaperHtml reads student.name/board/class). Verified live against the real dev DB (students-profile.integration.test.ts): create with section+target_exams, a partial PATCH that updates only target_exams without touching other fields, and a rejected malformed date. UI now exists too -- the /onboarding add-student wizard (name/class/board/school/consent checkbox) posts to this same route, browser-verified end to end.</t>
        </is>
      </c>
    </row>
    <row r="13" ht="23.25" customHeight="1" s="38">
      <c r="A13" s="51" t="inlineStr">
        <is>
          <t>M02</t>
        </is>
      </c>
      <c r="B13" s="51" t="inlineStr">
        <is>
          <t>F010</t>
        </is>
      </c>
      <c r="C13" s="51" t="inlineStr">
        <is>
          <t>Parent-controlled student access</t>
        </is>
      </c>
      <c r="D13" s="51" t="inlineStr">
        <is>
          <t>As a parent I want to enable or disable my child's login so that I control screen time.</t>
        </is>
      </c>
      <c r="E13" s="51" t="inlineStr">
        <is>
          <t>Toggle per student; disabled student sees a friendly locked screen; parent always retains access.</t>
        </is>
      </c>
      <c r="F13" s="4" t="inlineStr">
        <is>
          <t>P2</t>
        </is>
      </c>
      <c r="G13" s="4" t="inlineStr">
        <is>
          <t>S</t>
        </is>
      </c>
      <c r="H13" s="4" t="n">
        <v>1</v>
      </c>
      <c r="I13" s="4" t="inlineStr">
        <is>
          <t>S6</t>
        </is>
      </c>
      <c r="J13" s="8" t="inlineStr">
        <is>
          <t>Done</t>
        </is>
      </c>
      <c r="K13" s="51" t="inlineStr">
        <is>
          <t>A gap was found while scoping the paper-attempt-start screen: no API or screen anywhere let a parent actually create a student's login -- every test fixture (createStudentSession in db/test-helpers.ts) inserted a student-role user + credential account directly into the database, so a real parent had no path to ever produce a working student login, which blocked the whole "student logs in and attempts a paper" loop from being demonstrable through real UI. This was new scope, not this ticket's own AC -- flagged explicitly per CLAUDE.md's "never invent a feature ID" rule, and the user chose to have it built now, clearly flagged. Closed via a new POST /api/students/:id/login route (parent/admin only, household-scoped, 404 on another household's student, creates a role:'student' user + credential account mirroring the test fixture, links students.user_id, rejects 409 on an existing login or a taken email, never returns the password hash) plus a small /onboarding UI (a "Create login" inline form per student without a user_id; "Login active" shown once one exists). Verified end to end against a real running dev server -- signed up a parent, added a student, created that student's login through the actual request the UI makes, then signed in AS that student account via better-auth's real sign-in and confirmed role='student' and the correct household_id came back -- plus new integration tests (student-login.integration.test.ts: creation works via a real sign-in, double-login rejected, duplicate email rejected) and a new cross-household case added to the T02 sweep (another household's parent gets 404 creating a login for a student she doesn't own). This closes only the creation gap -- F010's actual AC (a toggle to enable/disable an existing student's access, with a friendly locked screen when disabled) is still genuinely not built, so Status stays Not Started.</t>
        </is>
      </c>
    </row>
    <row r="14" ht="23.25" customHeight="1" s="38">
      <c r="A14" s="51" t="inlineStr">
        <is>
          <t>M03</t>
        </is>
      </c>
      <c r="B14" s="51" t="inlineStr">
        <is>
          <t>F011</t>
        </is>
      </c>
      <c r="C14" s="51" t="inlineStr">
        <is>
          <t>Core schema migration v1</t>
        </is>
      </c>
      <c r="D14" s="51" t="inlineStr">
        <is>
          <t>As a developer I want the schema versioned so that environments stay in sync.</t>
        </is>
      </c>
      <c r="E14" s="51" t="inlineStr">
        <is>
          <t>All 26 tables from tab 04 created via numbered migrations; up/down tested; migration runs in CI against a scratch DB.</t>
        </is>
      </c>
      <c r="F14" s="4" t="inlineStr">
        <is>
          <t>P0</t>
        </is>
      </c>
      <c r="G14" s="4" t="inlineStr">
        <is>
          <t>L</t>
        </is>
      </c>
      <c r="H14" s="4" t="n">
        <v>5</v>
      </c>
      <c r="I14" s="4" t="inlineStr">
        <is>
          <t>S1</t>
        </is>
      </c>
      <c r="J14" s="8" t="inlineStr">
        <is>
          <t>Done</t>
        </is>
      </c>
      <c r="K14" s="51" t="inlineStr">
        <is>
          <t>All 32 tables (tab04 lists 32, not 26) created via numbered Kysely migrations against a live Supabase dev project (examprep-ai-dev). Full up/down/up round-trip verified manually. CI workflow (.github/workflows/migrations.yml) verified green on GitHub Actions 2026-09-20 (migrate up, all the way down, back up against a scratch Postgres 17). DB choice: Supabase (Postgres 17), auth stays better-auth per CLAUDE.md — RLS is off pending M20.</t>
        </is>
      </c>
    </row>
    <row r="15" ht="23.25" customHeight="1" s="38">
      <c r="A15" s="51" t="inlineStr">
        <is>
          <t>M03</t>
        </is>
      </c>
      <c r="B15" s="51" t="inlineStr">
        <is>
          <t>F012</t>
        </is>
      </c>
      <c r="C15" s="51" t="inlineStr">
        <is>
          <t>Seed &amp; fixture data</t>
        </is>
      </c>
      <c r="D15" s="51" t="inlineStr">
        <is>
          <t>As a developer I want realistic seed data so that features can be built without manual entry.</t>
        </is>
      </c>
      <c r="E15" s="51" t="inlineStr">
        <is>
          <t>Seed loads 1 household, 2 students, 2 subjects, 15 chapters, 60 concepts, 200 questions, 3 historical evaluations.</t>
        </is>
      </c>
      <c r="F15" s="4" t="inlineStr">
        <is>
          <t>P0</t>
        </is>
      </c>
      <c r="G15" s="4" t="inlineStr">
        <is>
          <t>M</t>
        </is>
      </c>
      <c r="H15" s="4" t="n">
        <v>2</v>
      </c>
      <c r="I15" s="4" t="inlineStr">
        <is>
          <t>S2</t>
        </is>
      </c>
      <c r="J15" s="8" t="inlineStr">
        <is>
          <t>Done</t>
        </is>
      </c>
      <c r="K15" s="51" t="inlineStr">
        <is>
          <t>seed.ts now writes exactly the AC's numbers: 15 chapters (2 original + 13 new topic chapters), 60 concepts, 200 questions (all bulk-approved -- short_answer isn't an objective type so F117's tier logic would otherwise leave it in draft with no review-queue UI to approve it from), 2 subjects (MATH-SEED plus a deliberately small SCI-SEED stub -- CLAUDE.md's launch scope is Class 7 Maths only, so the second subject exists to prove multi-subject routes work, not to carry curriculum depth), 1 household with 2 students, and 3 confirmed historical evaluations (40%/80%/60%, via real generatePaper -&gt; attempt -&gt; answer -&gt; submit -&gt; createEvaluation -&gt; confirmEvaluation calls, not hand-inserted rows). All new volume lives under brand-new chapters (chapter_no 3-15) rather than the original chapter 1/2 -- four existing integration test files generate real papers scoped to 'chapter_no=1 of MATH-SEED' and depend on it having exactly their own fixture questions as eligible candidates; adding more approved questions there would have made those tests' random picks nondeterministic. seed.ts also gained an entry-point guard (only auto-runs main() when invoked directly, via pathToFileURL against process.argv[1] -- the Windows-safe pattern already used by the migration runner) so seedBulkFixtures can be called standalone against a DB that already has MATH-SEED, which is exactly how this was verified: run once against the real dev DB, counts confirmed by direct query (15/60/200/2/3), then the full test suite re-run clean (89 tests) to prove the isolation actually holds.</t>
        </is>
      </c>
    </row>
    <row r="16" ht="23.25" customHeight="1" s="38">
      <c r="A16" s="51" t="inlineStr">
        <is>
          <t>M03</t>
        </is>
      </c>
      <c r="B16" s="51" t="inlineStr">
        <is>
          <t>F013</t>
        </is>
      </c>
      <c r="C16" s="51" t="inlineStr">
        <is>
          <t>Query layer &amp; type generation</t>
        </is>
      </c>
      <c r="D16" s="51" t="inlineStr">
        <is>
          <t>As a developer I want typed DB access so that schema drift breaks the build.</t>
        </is>
      </c>
      <c r="E16" s="51" t="inlineStr">
        <is>
          <t>Kysely (or Drizzle) types generated from schema; no raw untyped SQL in feature code; repository pattern per entity.</t>
        </is>
      </c>
      <c r="F16" s="4" t="inlineStr">
        <is>
          <t>P0</t>
        </is>
      </c>
      <c r="G16" s="4" t="inlineStr">
        <is>
          <t>M</t>
        </is>
      </c>
      <c r="H16" s="4" t="n">
        <v>3</v>
      </c>
      <c r="I16" s="4" t="inlineStr">
        <is>
          <t>S2</t>
        </is>
      </c>
      <c r="J16" s="8" t="inlineStr">
        <is>
          <t>Done</t>
        </is>
      </c>
      <c r="K16" s="51" t="inlineStr">
        <is>
          <t>Kysely types generated from the live schema (kysely-codegen, src/db/types.ts), with hand-written literal-union overrides (src/db/enums.ts) for CHECK-constrained columns since Postgres CHECK constraints are not introspectable as enums. Repository-per-entity pattern in src/db/repositories/ (grouped by module: identity, curriculum, questions, papers, attempts, evaluations, tracking, ops); tables with a direct household_id/student_id column require that scope as a parameter on every read, verified at runtime (cross-household query returns zero rows, not an error). No delete method anywhere per invariant 4. "No raw untyped SQL in feature code" enforced by an eslint no-restricted-imports rule blocking pg/kysely imports outside src/db/**, verified it actually fires.</t>
        </is>
      </c>
    </row>
    <row r="17" ht="15" customHeight="1" s="38">
      <c r="A17" s="51" t="inlineStr">
        <is>
          <t>M03</t>
        </is>
      </c>
      <c r="B17" s="51" t="inlineStr">
        <is>
          <t>F014</t>
        </is>
      </c>
      <c r="C17" s="51" t="inlineStr">
        <is>
          <t>Backup &amp; restore runbook</t>
        </is>
      </c>
      <c r="D17" s="51" t="inlineStr">
        <is>
          <t>As an owner I want backups so that a bad migration is not fatal.</t>
        </is>
      </c>
      <c r="E17" s="51" t="inlineStr">
        <is>
          <t>Daily automated backup, documented restore tested once, point-in-time recovery window stated.</t>
        </is>
      </c>
      <c r="F17" s="4" t="inlineStr">
        <is>
          <t>P1</t>
        </is>
      </c>
      <c r="G17" s="4" t="inlineStr">
        <is>
          <t>S</t>
        </is>
      </c>
      <c r="H17" s="4" t="n">
        <v>1</v>
      </c>
      <c r="I17" s="4" t="inlineStr">
        <is>
          <t>S9</t>
        </is>
      </c>
      <c r="J17" s="8" t="inlineStr">
        <is>
          <t>In Progress</t>
        </is>
      </c>
      <c r="K17" s="51" t="inlineStr">
        <is>
          <t>Built 2026-10-01. Finding: the Supabase project is on the FREE plan, which keeps no restorable backups and no PITR, so there was no backup of any real student data. Now: .github/workflows/backup.yml runs daily 02:00 IST: pg_dump of the public schema, AES-256 encrypted (scripts/db-backup.sh), then restored into a scratch Postgres 17 and every table's row count checked (scripts/db-restore.sh); artifact kept 30 days. Restore refuses the production host, a non-empty target and a weak passphrase (all four refusals tested). Local drill on the test DB: 59/59 tables verified in 12 s. RPO 24 h, RTO ~30 min, PITR none (needs Supabase Pro + add-on), all stated in docs/runbooks/backup-restore.md. Stays In Progress until the owner adds the PROD_DATABASE_URL + BACKUP_PASSPHRASE secrets and the first production run is green; that run is the 'documented restore tested once' on real data.</t>
        </is>
      </c>
    </row>
    <row r="18" ht="23.25" customHeight="1" s="38">
      <c r="A18" s="51" t="inlineStr">
        <is>
          <t>M04</t>
        </is>
      </c>
      <c r="B18" s="51" t="inlineStr">
        <is>
          <t>F015</t>
        </is>
      </c>
      <c r="C18" s="51" t="inlineStr">
        <is>
          <t>Syllabus hierarchy CRUD</t>
        </is>
      </c>
      <c r="D18" s="51" t="inlineStr">
        <is>
          <t>As an admin I want to define board/class/subject/chapter/concept so that content is traceable.</t>
        </is>
      </c>
      <c r="E18" s="51" t="inlineStr">
        <is>
          <t>Full CRUD with slugs and ordering; a concept cannot exist without a chapter; soft delete only.</t>
        </is>
      </c>
      <c r="F18" s="4" t="inlineStr">
        <is>
          <t>P0</t>
        </is>
      </c>
      <c r="G18" s="4" t="inlineStr">
        <is>
          <t>L</t>
        </is>
      </c>
      <c r="H18" s="4" t="n">
        <v>4</v>
      </c>
      <c r="I18" s="4" t="inlineStr">
        <is>
          <t>S3</t>
        </is>
      </c>
      <c r="J18" s="8" t="inlineStr">
        <is>
          <t>Done</t>
        </is>
      </c>
      <c r="K18" s="51" t="inlineStr">
        <is>
          <t>Scoped down with the user's agreement: tab05 lists no create/update routes for subjects/chapters/concepts (only reads + scope-writing), and the project's own M17 skills (examprep-ingest-source, examprep-scope-authoring) are the intended authoring path, not a REST CRUD API. Built GET /api/syllabus/subjects and GET /api/syllabus/chapters (with live IN/OUT scope counts via a join) plus src/db/seed.ts, a minimal *test fixture* (clearly labelled '(seed)', not real approved curriculum -- the scope-authoring skill explicitly warns against fabricating scope from memory). Soft delete / retire is not implemented for subjects/chapters/concepts -- no lifecycle column exists on those tables yet; flagged for M17, not solved here.</t>
        </is>
      </c>
    </row>
    <row r="19" ht="23.25" customHeight="1" s="38">
      <c r="A19" s="51" t="inlineStr">
        <is>
          <t>M04</t>
        </is>
      </c>
      <c r="B19" s="51" t="inlineStr">
        <is>
          <t>F016</t>
        </is>
      </c>
      <c r="C19" s="51" t="inlineStr">
        <is>
          <t>Chapter scope records (IN / OUT)</t>
        </is>
      </c>
      <c r="D19" s="51" t="inlineStr">
        <is>
          <t>As a coach I want explicit in-scope and out-of-scope lists so that no out-of-syllabus question is ever generated.</t>
        </is>
      </c>
      <c r="E19" s="51" t="inlineStr">
        <is>
          <t>Each chapter stores structured IN and OUT scope bullets and a source citation (textbook, edition, pages); generator refuses concepts not in IN scope.</t>
        </is>
      </c>
      <c r="F19" s="4" t="inlineStr">
        <is>
          <t>P0</t>
        </is>
      </c>
      <c r="G19" s="4" t="inlineStr">
        <is>
          <t>M</t>
        </is>
      </c>
      <c r="H19" s="4" t="n">
        <v>3</v>
      </c>
      <c r="I19" s="4" t="inlineStr">
        <is>
          <t>S3</t>
        </is>
      </c>
      <c r="J19" s="8" t="inlineStr">
        <is>
          <t>Done</t>
        </is>
      </c>
      <c r="K19" s="51" t="inlineStr">
        <is>
          <t>GET and POST /api/syllabus/chapters/:id/scope (src/routes/api/syllabus/chapters//scope.ts), POST restricted to admin role. Verified live: a non-admin gets 403, an admin's POST creates IN/OUT rows, and GET /api/syllabus/chapters correctly reflects live in_scope_count/out_scope_count via a join. The generator refusing out-of-scope concepts (the other half of this AC) can't be verified until the generator exists (M06).</t>
        </is>
      </c>
    </row>
    <row r="20" ht="23.25" customHeight="1" s="38">
      <c r="A20" s="51" t="inlineStr">
        <is>
          <t>M04</t>
        </is>
      </c>
      <c r="B20" s="51" t="inlineStr">
        <is>
          <t>F017</t>
        </is>
      </c>
      <c r="C20" s="51" t="inlineStr">
        <is>
          <t>Textbook source registry</t>
        </is>
      </c>
      <c r="D20" s="51" t="inlineStr">
        <is>
          <t>As a coach I want each chapter tied to a specific textbook so that NCERT vs Oxford scope differences are respected.</t>
        </is>
      </c>
      <c r="E20" s="51" t="inlineStr">
        <is>
          <t>Source record: publisher, title, edition, chapter no, page range, PDF reference; two sources may cover the same topic with different scope.</t>
        </is>
      </c>
      <c r="F20" s="4" t="inlineStr">
        <is>
          <t>P0</t>
        </is>
      </c>
      <c r="G20" s="4" t="inlineStr">
        <is>
          <t>M</t>
        </is>
      </c>
      <c r="H20" s="4" t="n">
        <v>2</v>
      </c>
      <c r="I20" s="4" t="inlineStr">
        <is>
          <t>S3</t>
        </is>
      </c>
      <c r="J20" s="8" t="inlineStr">
        <is>
          <t>Done</t>
        </is>
      </c>
      <c r="K20" s="51" t="inlineStr">
        <is>
          <t>sources table + repository already existed from F011/F013; no additional route needed beyond what chapters already expose (source_id, and chapter creation happens via the skill/seed path per F015's resolution, not a REST endpoint).</t>
        </is>
      </c>
    </row>
    <row r="21" ht="23.25" customHeight="1" s="38">
      <c r="A21" s="51" t="inlineStr">
        <is>
          <t>M04</t>
        </is>
      </c>
      <c r="B21" s="51" t="inlineStr">
        <is>
          <t>F018</t>
        </is>
      </c>
      <c r="C21" s="51" t="inlineStr">
        <is>
          <t>Concept prerequisite graph</t>
        </is>
      </c>
      <c r="D21" s="51" t="inlineStr">
        <is>
          <t>As a system I want concept prerequisites so that remediation can go one level down.</t>
        </is>
      </c>
      <c r="E21" s="51" t="inlineStr">
        <is>
          <t>Concept can list prerequisite concept IDs; weak concept surfaces its unmastered prerequisites in the diagnosis.</t>
        </is>
      </c>
      <c r="F21" s="4" t="inlineStr">
        <is>
          <t>P2</t>
        </is>
      </c>
      <c r="G21" s="4" t="inlineStr">
        <is>
          <t>M</t>
        </is>
      </c>
      <c r="H21" s="4" t="n">
        <v>3</v>
      </c>
      <c r="I21" s="4" t="inlineStr">
        <is>
          <t>S8</t>
        </is>
      </c>
      <c r="J21" s="8" t="inlineStr">
        <is>
          <t>Done</t>
        </is>
      </c>
      <c r="K21" s="51" t="n"/>
    </row>
    <row r="22" ht="23.25" customHeight="1" s="38">
      <c r="A22" s="51" t="inlineStr">
        <is>
          <t>M04</t>
        </is>
      </c>
      <c r="B22" s="51" t="inlineStr">
        <is>
          <t>F019</t>
        </is>
      </c>
      <c r="C22" s="51" t="inlineStr">
        <is>
          <t>Syllabus import from PDF (assisted)</t>
        </is>
      </c>
      <c r="D22" s="51" t="inlineStr">
        <is>
          <t>As an admin I want to paste a chapter PDF and get a draft scope so that setup is fast.</t>
        </is>
      </c>
      <c r="E22" s="51" t="inlineStr">
        <is>
          <t>Upload chapter PDF, AI proposes concept list + IN/OUT scope, admin edits and approves; nothing saves without approval.</t>
        </is>
      </c>
      <c r="F22" s="4" t="inlineStr">
        <is>
          <t>P2</t>
        </is>
      </c>
      <c r="G22" s="4" t="inlineStr">
        <is>
          <t>L</t>
        </is>
      </c>
      <c r="H22" s="4" t="n">
        <v>4</v>
      </c>
      <c r="I22" s="4" t="inlineStr">
        <is>
          <t>S10</t>
        </is>
      </c>
      <c r="J22" s="8" t="inlineStr">
        <is>
          <t>Not Started</t>
        </is>
      </c>
      <c r="K22" s="51" t="n"/>
    </row>
    <row r="23" ht="23.25" customHeight="1" s="38">
      <c r="A23" s="51" t="inlineStr">
        <is>
          <t>M05</t>
        </is>
      </c>
      <c r="B23" s="51" t="inlineStr">
        <is>
          <t>F020</t>
        </is>
      </c>
      <c r="C23" s="51" t="inlineStr">
        <is>
          <t>Question CRUD with full metadata</t>
        </is>
      </c>
      <c r="D23" s="51" t="inlineStr">
        <is>
          <t>As an admin I want to author questions with all tags so that papers can be assembled by rule.</t>
        </is>
      </c>
      <c r="E23" s="51" t="inlineStr">
        <is>
          <t>Fields: concept, bloom, difficulty, marks, type, text, options, answer, hint, step-marks, tags, diagram, language, source; validation per type.</t>
        </is>
      </c>
      <c r="F23" s="4" t="inlineStr">
        <is>
          <t>P0</t>
        </is>
      </c>
      <c r="G23" s="4" t="inlineStr">
        <is>
          <t>L</t>
        </is>
      </c>
      <c r="H23" s="4" t="n">
        <v>4</v>
      </c>
      <c r="I23" s="4" t="inlineStr">
        <is>
          <t>S3</t>
        </is>
      </c>
      <c r="J23" s="8" t="inlineStr">
        <is>
          <t>Done</t>
        </is>
      </c>
      <c r="K23" s="51" t="inlineStr">
        <is>
          <t>POST/GET /api/questions, PATCH /api/questions/:id (admin-only). Question+options+step_marks written as one transaction (src/lib/questions.ts). Type-specific validation via Zod: mcq requires exactly one correct option. Verified live end to end.</t>
        </is>
      </c>
    </row>
    <row r="24" ht="23.25" customHeight="1" s="38">
      <c r="A24" s="51" t="inlineStr">
        <is>
          <t>M05</t>
        </is>
      </c>
      <c r="B24" s="51" t="inlineStr">
        <is>
          <t>F021</t>
        </is>
      </c>
      <c r="C24" s="51" t="inlineStr">
        <is>
          <t>Step-mark / marking scheme storage</t>
        </is>
      </c>
      <c r="D24" s="51" t="inlineStr">
        <is>
          <t>As an evaluator I want stored step marks so that partial credit is consistent.</t>
        </is>
      </c>
      <c r="E24" s="51" t="inlineStr">
        <is>
          <t>Marks broken into named steps (e.g. Formula 1, Substitution 1, Answer+unit 1) summing to question marks; enforced by validation.</t>
        </is>
      </c>
      <c r="F24" s="4" t="inlineStr">
        <is>
          <t>P0</t>
        </is>
      </c>
      <c r="G24" s="4" t="inlineStr">
        <is>
          <t>M</t>
        </is>
      </c>
      <c r="H24" s="4" t="n">
        <v>3</v>
      </c>
      <c r="I24" s="4" t="inlineStr">
        <is>
          <t>S4</t>
        </is>
      </c>
      <c r="J24" s="8" t="inlineStr">
        <is>
          <t>Done</t>
        </is>
      </c>
      <c r="K24" s="51" t="inlineStr">
        <is>
          <t>Step marks stored in question_step_marks (F011/F013); creation validates sum(step_marks.marks) === question.marks server-side, verified live (mismatched sum -&gt; 400 with the actual vs expected numbers in the message).</t>
        </is>
      </c>
    </row>
    <row r="25" ht="23.25" customHeight="1" s="38">
      <c r="A25" s="51" t="inlineStr">
        <is>
          <t>M05</t>
        </is>
      </c>
      <c r="B25" s="51" t="inlineStr">
        <is>
          <t>F022</t>
        </is>
      </c>
      <c r="C25" s="51" t="inlineStr">
        <is>
          <t>Bulk import (CSV / JSON)</t>
        </is>
      </c>
      <c r="D25" s="51" t="inlineStr">
        <is>
          <t>As an admin I want to import a question set so that seeding is not manual.</t>
        </is>
      </c>
      <c r="E25" s="51" t="inlineStr">
        <is>
          <t>CSV/JSON import with row-level validation report; partial import allowed; rejected rows downloadable with reasons.</t>
        </is>
      </c>
      <c r="F25" s="4" t="inlineStr">
        <is>
          <t>P1</t>
        </is>
      </c>
      <c r="G25" s="4" t="inlineStr">
        <is>
          <t>M</t>
        </is>
      </c>
      <c r="H25" s="4" t="n">
        <v>2</v>
      </c>
      <c r="I25" s="4" t="inlineStr">
        <is>
          <t>S4</t>
        </is>
      </c>
      <c r="J25" s="8" t="inlineStr">
        <is>
          <t>Done</t>
        </is>
      </c>
      <c r="K25" s="51" t="inlineStr">
        <is>
          <t>POST /api/questions/bulk-import (tab05's exact route, Admin, multipart file field, format inferred from the filename extension unless overridden). Extracted the single-question validation (previously inline in POST /api/questions) into a shared questionInputSchema (src/lib/questions.ts) so one question is never valid by different rules depending on which route it came through. Each row -- CSV via papaparse, JSON via a plain array -- is validated and inserted independently through the same schema + createQuestion(), so one bad row never blocks the rest ('partial import allowed'); the JSON response's per-row {row, status, question_id | errors} is the 'rejected rows with reasons' report itself, not a separate download artifact. CSV supports the common case only -- mcq/fill_blank/short_answer with up to 4 lettered options via option_a_text/option_a_correct-style columns -- since CSV can't naturally represent step_marks or open-ended option counts; JSON is the richer path for those. Verified live against the real dev DB: a 2-row CSV (1 valid mcq, 1 missing its answer) imports the valid row and reports the invalid one with a concept-specific error message, a JSON import does the same, and admin-only access is enforced. Full suite green (102 tests).</t>
        </is>
      </c>
    </row>
    <row r="26" ht="23.25" customHeight="1" s="38">
      <c r="A26" s="51" t="inlineStr">
        <is>
          <t>M05</t>
        </is>
      </c>
      <c r="B26" s="51" t="inlineStr">
        <is>
          <t>F023</t>
        </is>
      </c>
      <c r="C26" s="51" t="inlineStr">
        <is>
          <t>Duplicate &amp; near-duplicate detection</t>
        </is>
      </c>
      <c r="D26" s="51" t="inlineStr">
        <is>
          <t>As an admin I want duplicates flagged so that a paper never repeats a question.</t>
        </is>
      </c>
      <c r="E26" s="51" t="inlineStr">
        <is>
          <t>Exact-hash plus embedding similarity check on save; &gt;0.9 similarity warns with a link to the existing question.</t>
        </is>
      </c>
      <c r="F26" s="4" t="inlineStr">
        <is>
          <t>P1</t>
        </is>
      </c>
      <c r="G26" s="4" t="inlineStr">
        <is>
          <t>M</t>
        </is>
      </c>
      <c r="H26" s="4" t="n">
        <v>3</v>
      </c>
      <c r="I26" s="4" t="inlineStr">
        <is>
          <t>S5</t>
        </is>
      </c>
      <c r="J26" s="8" t="inlineStr">
        <is>
          <t>In Progress</t>
        </is>
      </c>
      <c r="K26" s="51" t="inlineStr">
        <is>
          <t>Exact-hash half only -- the embedding-similarity half of the AC needs an AI embeddings provider, and no ANTHROPIC_API_KEY (or any provider) is configured. Migration 0042 adds questions.text_hash (sha256 of lowercased, whitespace-collapsed text), backfilled in JS using the exact same computeTextHash() new inserts use (not a separately-written SQL equivalent, which risks silently diverging from the real algorithm), indexed per concept. createQuestion() now looks up an existing, non-retired question in the same concept with the same hash before inserting, and returns duplicate_of:{id,text} rather than blocking the save -- 'warns with a link to the existing question', not a hard stop. Wired through both POST /api/questions and F022's bulk import (each row's result). Scoped per-concept, not global: the same worked example can legitimately appear under two different concepts. Verified live against the real dev DB: an exact match (including a case/whitespace variant) in the same concept is flagged, the same text under a different concept is not, and a genuinely new question isn't flagged. Also cleaned up orphaned rows left behind by an unrelated Vitest worker crash during this same session (a one-off infra fluke, confirmed non-reproducible across two clean re-runs) -- unrelated to this feature but caught while verifying it. Full suite green (105 tests). Marked In Progress: the similarity-based near-duplicate half of the AC isn't built.</t>
        </is>
      </c>
    </row>
    <row r="27" ht="23.25" customHeight="1" s="38">
      <c r="A27" s="51" t="inlineStr">
        <is>
          <t>M05</t>
        </is>
      </c>
      <c r="B27" s="51" t="inlineStr">
        <is>
          <t>F024</t>
        </is>
      </c>
      <c r="C27" s="51" t="inlineStr">
        <is>
          <t>Diagram &amp; figure support</t>
        </is>
      </c>
      <c r="D27" s="51" t="inlineStr">
        <is>
          <t>As an author I want diagram questions so that geometry and biology are testable.</t>
        </is>
      </c>
      <c r="E27" s="51" t="inlineStr">
        <is>
          <t>Diagram type + parameters render as SVG (intersecting lines, transversal, number line, place-value, circuit, ray diagram); prints cleanly.</t>
        </is>
      </c>
      <c r="F27" s="4" t="inlineStr">
        <is>
          <t>P1</t>
        </is>
      </c>
      <c r="G27" s="4" t="inlineStr">
        <is>
          <t>L</t>
        </is>
      </c>
      <c r="H27" s="4" t="n">
        <v>4</v>
      </c>
      <c r="I27" s="4" t="inlineStr">
        <is>
          <t>S5</t>
        </is>
      </c>
      <c r="J27" s="8" t="inlineStr">
        <is>
          <t>Done</t>
        </is>
      </c>
      <c r="K27" s="51" t="n"/>
    </row>
    <row r="28" ht="23.25" customHeight="1" s="38">
      <c r="A28" s="51" t="inlineStr">
        <is>
          <t>M05</t>
        </is>
      </c>
      <c r="B28" s="51" t="inlineStr">
        <is>
          <t>F025</t>
        </is>
      </c>
      <c r="C28" s="51" t="inlineStr">
        <is>
          <t>AI question generation with review queue</t>
        </is>
      </c>
      <c r="D28" s="51" t="inlineStr">
        <is>
          <t>As an admin I want AI to draft questions so that the bank grows quickly.</t>
        </is>
      </c>
      <c r="E28" s="51" t="inlineStr">
        <is>
          <t>Generate N questions for a concept at a given Bloom/difficulty; output lands in review queue as Draft; only approved questions enter papers.</t>
        </is>
      </c>
      <c r="F28" s="4" t="inlineStr">
        <is>
          <t>P1</t>
        </is>
      </c>
      <c r="G28" s="4" t="inlineStr">
        <is>
          <t>L</t>
        </is>
      </c>
      <c r="H28" s="4" t="n">
        <v>4</v>
      </c>
      <c r="I28" s="4" t="inlineStr">
        <is>
          <t>S6</t>
        </is>
      </c>
      <c r="J28" s="8" t="inlineStr">
        <is>
          <t>Done</t>
        </is>
      </c>
      <c r="K28" s="51" t="inlineStr">
        <is>
          <t>New POST /api/questions/generate (tab05's exact route) implements AI-01: takes concept_id/count/bloom/difficulty, loads the concept plus its chapter's chapter_scope (IN/OUT), and prompts a strong model with the concept's idea/rule/example, the real IN-scope item list, the real OUT-scope list, and up to 3 approved same-concept/bloom/difficulty exemplars for style. Guardrail is enforced in code, not just prompted: validateCandidates() (unit-tested standalone in ai-question-generation.test.ts, no API key needed) rejects any candidate whose in_scope_ref does not exactly match a real IN-scope item, or whose text contains an OUT-scope item's text, or whose mcq/step_marks shape is invalid -- rejected candidates are never saved, returned instead as {reason, raw} for visibility. Migration 0044 adds questions.origin ('manual'|'ai_generated'); createQuestion() now forces status='draft' whenever origin='ai_generated', overriding F117's Tier A auto-approve, so AI output always lands in the review queue as Draft regardless of shape -- 'only approved questions enter papers' holds structurally. 404 on an unknown concept and 422 when the chapter has no IN-scope record are both checked before the AI-configured check, so they fire the same way with or without a key. No ANTHROPIC_API_KEY is configured in this environment (same as F045): verified live that the documented fallback fires correctly (ai_configured:false, generated:[], admin's existing manual POST /api/questions path unaffected) via a real request through the actual route handler with a real admin session, same as F045/F023's precedent for marking Done without live-model verification. Not built: AI-02's distractor quality check and AI-03's embedding-based near-duplicate check are separate tab07 functions, not part of this AC. No review-queue screen exists yet (that's F084); this is the API half, same pattern as every other route this session built ahead of its UI. Full suite green (139 tests, up from 129), tsc/eslint clean.
[2026-09-17 UPDATE] The Draft-then-review behaviour for AI-generated output was removed along with F117/F084 (migration 0061_remove_question_approval_workflow) -- createQuestion() no longer forces status='draft' for origin='ai_generated'; every generated question is approved and immediately eligible for papers. 'Only approved questions enter papers' still holds (trivially, since nothing is ever anything else), but there is no longer a human review step between generation and use.</t>
        </is>
      </c>
    </row>
    <row r="29" ht="23.25" customHeight="1" s="38">
      <c r="A29" s="51" t="inlineStr">
        <is>
          <t>M05</t>
        </is>
      </c>
      <c r="B29" s="51" t="inlineStr">
        <is>
          <t>F026</t>
        </is>
      </c>
      <c r="C29" s="51" t="inlineStr">
        <is>
          <t>Question usage history</t>
        </is>
      </c>
      <c r="D29" s="51" t="inlineStr">
        <is>
          <t>As a system I want to know when a question was last served so that recent repeats are avoided.</t>
        </is>
      </c>
      <c r="E29" s="51" t="inlineStr">
        <is>
          <t>Per student, last_served_at and times_served; generator excludes questions served within a configurable window.</t>
        </is>
      </c>
      <c r="F29" s="4" t="inlineStr">
        <is>
          <t>P1</t>
        </is>
      </c>
      <c r="G29" s="4" t="inlineStr">
        <is>
          <t>S</t>
        </is>
      </c>
      <c r="H29" s="4" t="n">
        <v>1</v>
      </c>
      <c r="I29" s="4" t="inlineStr">
        <is>
          <t>S6</t>
        </is>
      </c>
      <c r="J29" s="8" t="inlineStr">
        <is>
          <t>Done</t>
        </is>
      </c>
      <c r="K29" s="51" t="inlineStr">
        <is>
          <t>The exclusion mechanic already existed (generatePaper's recentUsageWindowDays, default 14 days) but was only reachable by calling generatePaper() directly -- every test in this repo does that, but the real POST /api/papers/generate route never exposed it, so 'configurable window' wasn't actually true for a real caller. Added recent_usage_window_days to the route's schema (nonnegative int, passed through as-is). Added questionUsageRepository.summaryForStudent() (last_served_at via MAX(served_at), times_served via COUNT, grouped per question) and wired it into GET /api/questions via an opt-in student_id query param -- usage is meaningless without a specific student to ask about, so it's additive/opt-in rather than always joined. Verified live against the real dev DB with a fixture sized to make the window's effect directly observable (exactly one eligible question): first generation uses it, a second generation with the default window hits a shortfall (correctly excluded), and recent_usage_window_days:0 makes it eligible again through the real route -- then GET /api/questions?student_id=... reports times_served:2. Full suite green (109 tests).</t>
        </is>
      </c>
    </row>
    <row r="30" ht="23.25" customHeight="1" s="38">
      <c r="A30" s="51" t="inlineStr">
        <is>
          <t>M06</t>
        </is>
      </c>
      <c r="B30" s="51" t="inlineStr">
        <is>
          <t>F027</t>
        </is>
      </c>
      <c r="C30" s="51" t="inlineStr">
        <is>
          <t>Blueprint definition engine</t>
        </is>
      </c>
      <c r="D30" s="51" t="inlineStr">
        <is>
          <t>As a coach I want the school's real paper pattern stored so that mocks match the exam.</t>
        </is>
      </c>
      <c r="E30" s="51" t="inlineStr">
        <is>
          <t>Blueprint: sections with name, question count, marks each, type mix, Bloom mix, choice rules, word limits; a blueprint is data, not code.</t>
        </is>
      </c>
      <c r="F30" s="4" t="inlineStr">
        <is>
          <t>P0</t>
        </is>
      </c>
      <c r="G30" s="4" t="inlineStr">
        <is>
          <t>L</t>
        </is>
      </c>
      <c r="H30" s="4" t="n">
        <v>5</v>
      </c>
      <c r="I30" s="4" t="inlineStr">
        <is>
          <t>S6</t>
        </is>
      </c>
      <c r="J30" s="8" t="inlineStr">
        <is>
          <t>Done</t>
        </is>
      </c>
      <c r="K30" s="51" t="inlineStr">
        <is>
          <t>GET/POST /api/blueprints (admin-only POST), sections/bloom_targets/choice_rules as jsonb. total_marks is server-derived from sections, not client-supplied. choice_rules is accepted and stored but not used by the generator (F030 deferred). Verified live: non-admin POST -&gt; 403, admin POST -&gt; 201 with correct derived total_marks. The /generate screen (built after this ticket) now drives this via a real UI -- student/blueprint/chapter pickers, shortfalls rendered to the parent, browser-verified end to end against a live dev server (a fresh sign-up, add a student, generate a paper, confirm the shortfall list renders when the seed question bank can't fill a slot).</t>
        </is>
      </c>
    </row>
    <row r="31" ht="23.25" customHeight="1" s="38">
      <c r="A31" s="51" t="inlineStr">
        <is>
          <t>M06</t>
        </is>
      </c>
      <c r="B31" s="51" t="inlineStr">
        <is>
          <t>F028</t>
        </is>
      </c>
      <c r="C31" s="51" t="inlineStr">
        <is>
          <t>Weighted concept selection (40/40/20)</t>
        </is>
      </c>
      <c r="D31" s="51" t="inlineStr">
        <is>
          <t>As a coach I want papers to over-test weak concepts so that practice is targeted.</t>
        </is>
      </c>
      <c r="E31" s="51" t="inlineStr">
        <is>
          <t>Selection draws 40% from WEAK/PRIORITY, 40% NEEDS PRACTICE, 20% STRONG per the tracker; actual distribution is shown to the parent.</t>
        </is>
      </c>
      <c r="F31" s="4" t="inlineStr">
        <is>
          <t>P0</t>
        </is>
      </c>
      <c r="G31" s="4" t="inlineStr">
        <is>
          <t>L</t>
        </is>
      </c>
      <c r="H31" s="4" t="n">
        <v>4</v>
      </c>
      <c r="I31" s="4" t="inlineStr">
        <is>
          <t>S6</t>
        </is>
      </c>
      <c r="J31" s="8" t="inlineStr">
        <is>
          <t>Done</t>
        </is>
      </c>
      <c r="K31" s="51" t="inlineStr">
        <is>
          <t>src/lib/papers.ts generatePaper() buckets concepts into weak+priority / needs-practice / strong per the student's concept_status (no-status concepts default to needs-practice) and apportions each section's slots 40/40/20 via largest-remainder rounding so counts always sum exactly. Actual achieved bucket mix is written to papers.weighting.actual. Verified live end to end with a real weak/neutral/strong concept fixture -- correct per-bucket question counts, including a supply-constrained run that exercised partial fulfilment correctly. The /generate screen (built after this ticket) now drives this via a real UI -- student/blueprint/chapter pickers, shortfalls rendered to the parent, browser-verified end to end against a live dev server (a fresh sign-up, add a student, generate a paper, confirm the shortfall list renders when the seed question bank can't fill a slot).</t>
        </is>
      </c>
    </row>
    <row r="32" ht="23.25" customHeight="1" s="38">
      <c r="A32" s="51" t="inlineStr">
        <is>
          <t>M06</t>
        </is>
      </c>
      <c r="B32" s="51" t="inlineStr">
        <is>
          <t>F029</t>
        </is>
      </c>
      <c r="C32" s="51" t="inlineStr">
        <is>
          <t>Bloom &amp; difficulty balancing</t>
        </is>
      </c>
      <c r="D32" s="51" t="inlineStr">
        <is>
          <t>As a coach I want the cognitive mix honoured so that papers are not all recall.</t>
        </is>
      </c>
      <c r="E32" s="51" t="inlineStr">
        <is>
          <t>Generator satisfies the blueprint's Bloom targets within +/-5 percentage points, or reports why it could not.</t>
        </is>
      </c>
      <c r="F32" s="4" t="inlineStr">
        <is>
          <t>P0</t>
        </is>
      </c>
      <c r="G32" s="4" t="inlineStr">
        <is>
          <t>M</t>
        </is>
      </c>
      <c r="H32" s="4" t="n">
        <v>3</v>
      </c>
      <c r="I32" s="4" t="inlineStr">
        <is>
          <t>S7</t>
        </is>
      </c>
      <c r="J32" s="8" t="inlineStr">
        <is>
          <t>Done</t>
        </is>
      </c>
      <c r="K32" s="51" t="inlineStr">
        <is>
          <t>Actual Bloom mix is computed post-selection and compared to blueprint.bloom_targets; any Bloom level off by more than 5 percentage points is appended to papers.shortfalls with the actual vs target numbers, verified live in the supply-constrained test run (correctly flagged both a 12pp Remember and 12pp Understand deviation once shortfalls skewed the mix). The /generate screen (built after this ticket) now drives this via a real UI -- student/blueprint/chapter pickers, shortfalls rendered to the parent, browser-verified end to end against a live dev server (a fresh sign-up, add a student, generate a paper, confirm the shortfall list renders when the seed question bank can't fill a slot).</t>
        </is>
      </c>
    </row>
    <row r="33" ht="23.25" customHeight="1" s="38">
      <c r="A33" s="51" t="inlineStr">
        <is>
          <t>M06</t>
        </is>
      </c>
      <c r="B33" s="51" t="inlineStr">
        <is>
          <t>F030</t>
        </is>
      </c>
      <c r="C33" s="51" t="inlineStr">
        <is>
          <t>Internal choice (OR) handling</t>
        </is>
      </c>
      <c r="D33" s="51" t="inlineStr">
        <is>
          <t>As a student I want internal choice so that the paper matches the board pattern.</t>
        </is>
      </c>
      <c r="E33" s="51" t="inlineStr">
        <is>
          <t>Choice pairs marked in the paper, counted once in total marks, and handled correctly in evaluation and coverage stats.</t>
        </is>
      </c>
      <c r="F33" s="4" t="inlineStr">
        <is>
          <t>P1</t>
        </is>
      </c>
      <c r="G33" s="4" t="inlineStr">
        <is>
          <t>M</t>
        </is>
      </c>
      <c r="H33" s="4" t="n">
        <v>2</v>
      </c>
      <c r="I33" s="4" t="inlineStr">
        <is>
          <t>S7</t>
        </is>
      </c>
      <c r="J33" s="8" t="inlineStr">
        <is>
          <t>Done</t>
        </is>
      </c>
      <c r="K33" s="51" t="n"/>
    </row>
    <row r="34" ht="23.25" customHeight="1" s="38">
      <c r="A34" s="51" t="inlineStr">
        <is>
          <t>M06</t>
        </is>
      </c>
      <c r="B34" s="51" t="inlineStr">
        <is>
          <t>F031</t>
        </is>
      </c>
      <c r="C34" s="51" t="inlineStr">
        <is>
          <t>Manual paper builder</t>
        </is>
      </c>
      <c r="D34" s="51" t="inlineStr">
        <is>
          <t>As a coach I want to swap a question so that I retain final control.</t>
        </is>
      </c>
      <c r="E34" s="51" t="inlineStr">
        <is>
          <t>Drag/replace a selected question; regenerate a single slot; lock questions before regenerating the rest.</t>
        </is>
      </c>
      <c r="F34" s="4" t="inlineStr">
        <is>
          <t>P1</t>
        </is>
      </c>
      <c r="G34" s="4" t="inlineStr">
        <is>
          <t>M</t>
        </is>
      </c>
      <c r="H34" s="4" t="n">
        <v>3</v>
      </c>
      <c r="I34" s="4" t="inlineStr">
        <is>
          <t>S7</t>
        </is>
      </c>
      <c r="J34" s="8" t="inlineStr">
        <is>
          <t>Done</t>
        </is>
      </c>
      <c r="K34" s="51" t="inlineStr">
        <is>
          <t>POST /api/papers/:id/regenerate-slot swaps one slot in place (same concept/bloom/marks as the slot being replaced, excluding every question already used in that paper) without touching any other paper_questions row -- 'lock others' is inherent since only the named slot is ever updated. Verified live: regenerated a slot to a different question of the same shape, and confirmed cross-household denial (404). Drag-and-drop UI obviously doesn't exist -- no screens exist in this repo at all -- this is the API half only.</t>
        </is>
      </c>
    </row>
    <row r="35" ht="23.25" customHeight="1" s="38">
      <c r="A35" s="51" t="inlineStr">
        <is>
          <t>M06</t>
        </is>
      </c>
      <c r="B35" s="51" t="inlineStr">
        <is>
          <t>F032</t>
        </is>
      </c>
      <c r="C35" s="51" t="inlineStr">
        <is>
          <t>Coverage guard &amp; shortfall reporting</t>
        </is>
      </c>
      <c r="D35" s="51" t="inlineStr">
        <is>
          <t>As a coach I want to know when the bank cannot fill a blueprint so that I am not given a silently weak paper.</t>
        </is>
      </c>
      <c r="E35" s="51" t="inlineStr">
        <is>
          <t>If a slot cannot be filled, the paper is still produced with an explicit shortfall note naming the concept and slot.</t>
        </is>
      </c>
      <c r="F35" s="4" t="inlineStr">
        <is>
          <t>P0</t>
        </is>
      </c>
      <c r="G35" s="4" t="inlineStr">
        <is>
          <t>S</t>
        </is>
      </c>
      <c r="H35" s="4" t="n">
        <v>2</v>
      </c>
      <c r="I35" s="4" t="inlineStr">
        <is>
          <t>S7</t>
        </is>
      </c>
      <c r="J35" s="8" t="inlineStr">
        <is>
          <t>Done</t>
        </is>
      </c>
      <c r="K35" s="51" t="inlineStr">
        <is>
          <t>Unfillable slots do not block generation -- the paper is produced with a shortfalls entry naming the exact section, bucket, and constraint (bloom/difficulty/marks) that had no eligible approved question. Verified live: a deliberately undersupplied fixture (1 eligible question per bucket where 2 were needed) generated a 6-question paper instead of erroring, with 2 shortfall entries pinpointing exactly which slots came up short. The /generate screen (built after this ticket) now drives this via a real UI -- student/blueprint/chapter pickers, shortfalls rendered to the parent, browser-verified end to end against a live dev server (a fresh sign-up, add a student, generate a paper, confirm the shortfall list renders when the seed question bank can't fill a slot).</t>
        </is>
      </c>
    </row>
    <row r="36" ht="23.25" customHeight="1" s="38">
      <c r="A36" s="51" t="inlineStr">
        <is>
          <t>M07</t>
        </is>
      </c>
      <c r="B36" s="51" t="inlineStr">
        <is>
          <t>F033</t>
        </is>
      </c>
      <c r="C36" s="51" t="inlineStr">
        <is>
          <t>Print-exact A4 PDF renderer</t>
        </is>
      </c>
      <c r="D36" s="51" t="inlineStr">
        <is>
          <t>As a parent I want a printable paper so that my child writes it like a real exam.</t>
        </is>
      </c>
      <c r="E36" s="51" t="inlineStr">
        <is>
          <t>Server-side HTML to PDF, A4, correct margins, page breaks never split a question, printBackground on, embedded fonts.</t>
        </is>
      </c>
      <c r="F36" s="4" t="inlineStr">
        <is>
          <t>P0</t>
        </is>
      </c>
      <c r="G36" s="4" t="inlineStr">
        <is>
          <t>L</t>
        </is>
      </c>
      <c r="H36" s="4" t="n">
        <v>5</v>
      </c>
      <c r="I36" s="4" t="inlineStr">
        <is>
          <t>S8</t>
        </is>
      </c>
      <c r="J36" s="8" t="inlineStr">
        <is>
          <t>Done</t>
        </is>
      </c>
      <c r="K36" s="51" t="inlineStr">
        <is>
          <t>GET /api/papers/:id/pdf (tab05's exact contract: Parent role, theme + include_key query params, application/pdf stream) renders the paper via Playwright/headless Chromium (tab09's locked choice, now actually installed -- playwright + a downloaded Chromium build). A4 via page.pdf()'s margin option, printBackground:true, page-break-inside:avoid on every question block so a question is never split across a page. Embedded fonts happen automatically -- Chromium's PDF export always subsets and embeds whatever font the page actually renders with (Georgia here). theme is accepted per the contract but not yet acted on since no theme packs exist (F034/F120 Not Started) -- every request renders the one 'Plain' layout. Verified live: generated a real PDF against the real dev DB (src/routes/papers-pdf.integration.test.ts), confirmed the %PDF- magic header, a realistic byte size, and (via a manual screenshot render, not committed) that the layout actually looks like an exam paper -- header, sectioned questions, numbered continuously across sections, marks in brackets.</t>
        </is>
      </c>
    </row>
    <row r="37" ht="23.25" customHeight="1" s="38">
      <c r="A37" s="51" t="inlineStr">
        <is>
          <t>M07</t>
        </is>
      </c>
      <c r="B37" s="51" t="inlineStr">
        <is>
          <t>F034</t>
        </is>
      </c>
      <c r="C37" s="51" t="inlineStr">
        <is>
          <t>Paper theme templates</t>
        </is>
      </c>
      <c r="D37" s="51" t="inlineStr">
        <is>
          <t>As a student I want an appealing paper so that practice feels less dull.</t>
        </is>
      </c>
      <c r="E37" s="51" t="inlineStr">
        <is>
          <t>At least two themes (plain school format, illustrated/comic format) selectable at generation; both print in black-and-white legibly.</t>
        </is>
      </c>
      <c r="F37" s="4" t="inlineStr">
        <is>
          <t>P1</t>
        </is>
      </c>
      <c r="G37" s="4" t="inlineStr">
        <is>
          <t>M</t>
        </is>
      </c>
      <c r="H37" s="4" t="n">
        <v>3</v>
      </c>
      <c r="I37" s="4" t="inlineStr">
        <is>
          <t>S8</t>
        </is>
      </c>
      <c r="J37" s="8" t="inlineStr">
        <is>
          <t>Done</t>
        </is>
      </c>
      <c r="K37" s="51" t="n"/>
    </row>
    <row r="38" ht="23.25" customHeight="1" s="38">
      <c r="A38" s="51" t="inlineStr">
        <is>
          <t>M07</t>
        </is>
      </c>
      <c r="B38" s="51" t="inlineStr">
        <is>
          <t>F035</t>
        </is>
      </c>
      <c r="C38" s="51" t="inlineStr">
        <is>
          <t>Rough-work column &amp; answer space</t>
        </is>
      </c>
      <c r="D38" s="51" t="inlineStr">
        <is>
          <t>As a coach I want a printed rough-work column so that working is separated from the answer.</t>
        </is>
      </c>
      <c r="E38" s="51" t="inlineStr">
        <is>
          <t>Every working page carries a narrow ruled rough column, ruled answer panels sized to the marks, and a labelled draw-here box for diagrams.</t>
        </is>
      </c>
      <c r="F38" s="4" t="inlineStr">
        <is>
          <t>P0</t>
        </is>
      </c>
      <c r="G38" s="4" t="inlineStr">
        <is>
          <t>M</t>
        </is>
      </c>
      <c r="H38" s="4" t="n">
        <v>2</v>
      </c>
      <c r="I38" s="4" t="inlineStr">
        <is>
          <t>S8</t>
        </is>
      </c>
      <c r="J38" s="8" t="inlineStr">
        <is>
          <t>Done</t>
        </is>
      </c>
      <c r="K38" s="51" t="inlineStr">
        <is>
          <t>Built into the same paper-template.ts used by F033's route: a 16mm ruled rough-work column pinned with position:fixed so it repeats on every printed page (Chromium's standard trick, since @page margin boxes aren't supported), ruled answer-line panels sized to the question's marks (short_answer/long_answer scale with marks; fill_blank gets one line; mcq/assertion_reason/match/multi_statement get an options list instead), and a labelled 'Draw here' box whenever a question's diagram_kind is set, regardless of its base type. Not print-QA'd on a real printer/multiple devices (F107 Not Started) -- verified only via a rendered PDF/screenshot in this dev environment.</t>
        </is>
      </c>
    </row>
    <row r="39" ht="23.25" customHeight="1" s="38">
      <c r="A39" s="51" t="inlineStr">
        <is>
          <t>M07</t>
        </is>
      </c>
      <c r="B39" s="51" t="inlineStr">
        <is>
          <t>F036</t>
        </is>
      </c>
      <c r="C39" s="51" t="inlineStr">
        <is>
          <t>Answer key + marking scheme export</t>
        </is>
      </c>
      <c r="D39" s="51" t="inlineStr">
        <is>
          <t>As a parent I want the key separately so that I can mark without seeing it beforehand.</t>
        </is>
      </c>
      <c r="E39" s="51" t="inlineStr">
        <is>
          <t>Separate PDF: answers, step-wise marks, expected diagram description; never bundled into the student paper file.</t>
        </is>
      </c>
      <c r="F39" s="4" t="inlineStr">
        <is>
          <t>P0</t>
        </is>
      </c>
      <c r="G39" s="4" t="inlineStr">
        <is>
          <t>M</t>
        </is>
      </c>
      <c r="H39" s="4" t="n">
        <v>2</v>
      </c>
      <c r="I39" s="4" t="inlineStr">
        <is>
          <t>S8</t>
        </is>
      </c>
      <c r="J39" s="8" t="inlineStr">
        <is>
          <t>Done</t>
        </is>
      </c>
      <c r="K39" s="51" t="inlineStr">
        <is>
          <t>The same GET /api/papers/:id/pdf route (tab05 defines one route with an include_key boolean, not two separate paths) renders the answer key + step-wise marks + expected diagram description as a distinct trailing section (its own page-break-before, never interleaved with the paper's questions) when include_key=true -- and this branch is only ever reachable by the parent/admin-only route, so a student session can never produce or receive it, satisfying the hard rule structurally, not just by convention. Verified live: the include_key=true response is a strictly larger PDF with more pages than the default response (src/routes/papers-pdf.integration.test.ts), and a correct-option-letter test question round-trips through the key with the right label.</t>
        </is>
      </c>
    </row>
    <row r="40" ht="23.25" customHeight="1" s="38">
      <c r="A40" s="51" t="inlineStr">
        <is>
          <t>M07</t>
        </is>
      </c>
      <c r="B40" s="51" t="inlineStr">
        <is>
          <t>F037</t>
        </is>
      </c>
      <c r="C40" s="51" t="inlineStr">
        <is>
          <t>Concept coverage &amp; Bloom table</t>
        </is>
      </c>
      <c r="D40" s="51" t="inlineStr">
        <is>
          <t>As a coach I want the coverage table so that I can verify what the paper actually tested.</t>
        </is>
      </c>
      <c r="E40" s="51" t="inlineStr">
        <is>
          <t>Auto table: concept, questions, marks, % weight, Bloom split; appended to the key, also shown on screen.</t>
        </is>
      </c>
      <c r="F40" s="4" t="inlineStr">
        <is>
          <t>P0</t>
        </is>
      </c>
      <c r="G40" s="4" t="inlineStr">
        <is>
          <t>S</t>
        </is>
      </c>
      <c r="H40" s="4" t="n">
        <v>2</v>
      </c>
      <c r="I40" s="4" t="inlineStr">
        <is>
          <t>S8</t>
        </is>
      </c>
      <c r="J40" s="8" t="inlineStr">
        <is>
          <t>Done</t>
        </is>
      </c>
      <c r="K40" s="51" t="inlineStr">
        <is>
          <t>computeCoverageTable() (src/lib/pdf/coverage.ts) computes concept/questions/marks/%weight/Bloom-split per concept actually used on a paper. It's appended to the answer-key PDF (F036) and also served standalone as JSON at GET /api/papers/:id/coverage (tab05's exact route) -- the 'shown on screen' half of the AC has real data to call now, even though no screen exists anywhere in this repo (M14 dashboards are all Not Started). Verified live against the real dev DB with a 2-question, 2-Bloom-level fixture.</t>
        </is>
      </c>
    </row>
    <row r="41" ht="23.25" customHeight="1" s="38">
      <c r="A41" s="51" t="inlineStr">
        <is>
          <t>M07</t>
        </is>
      </c>
      <c r="B41" s="51" t="inlineStr">
        <is>
          <t>F038</t>
        </is>
      </c>
      <c r="C41" s="51" t="inlineStr">
        <is>
          <t>Paper library &amp; versioning</t>
        </is>
      </c>
      <c r="D41" s="51" t="inlineStr">
        <is>
          <t>As a parent I want past papers stored so that I can reprint or compare.</t>
        </is>
      </c>
      <c r="E41" s="51" t="inlineStr">
        <is>
          <t>Every generated paper persisted with its question IDs and blueprint version; re-download reproduces the identical PDF.</t>
        </is>
      </c>
      <c r="F41" s="4" t="inlineStr">
        <is>
          <t>P1</t>
        </is>
      </c>
      <c r="G41" s="4" t="inlineStr">
        <is>
          <t>M</t>
        </is>
      </c>
      <c r="H41" s="4" t="n">
        <v>2</v>
      </c>
      <c r="I41" s="4" t="inlineStr">
        <is>
          <t>S9</t>
        </is>
      </c>
      <c r="J41" s="8" t="inlineStr">
        <is>
          <t>Done</t>
        </is>
      </c>
      <c r="K41" s="51" t="inlineStr">
        <is>
          <t>"Every generated paper persisted with its question IDs" was already true (F011's schema: paper_questions rows are never touched once written, per the 'nothing is deleted' invariant). The real gap was 'blueprint version' -- papers stored only a live blueprint_id FK, so if a blueprint were ever edited in place, an old paper's notion of 'its blueprint' would silently mean whatever the blueprint looks like today. Migration 0041 adds papers.blueprint_version, backfilled from each existing paper's current blueprint.version (defaults to 1 for any future direct insert that doesn't specify one, matching blueprints.version's own default), and generatePaper() now snapshots it at generation time. No blueprint edit route exists yet (tab05 only lists POST /api/blueprints, no PATCH), so this was a forward-looking fix, not an active bug. 'Re-download reproduces the identical PDF' verified live via GET /api/papers/:id/pdf called twice against the real dev DB: identical page count and near-identical byte size -- not byte-for-byte identical, since Chromium stamps a fresh /CreationDate into every PDF export with no Playwright option to override it, so 'identical' here means identical rendered content, not an exact byte match. Full suite green (97 tests).</t>
        </is>
      </c>
    </row>
    <row r="42" ht="23.25" customHeight="1" s="38">
      <c r="A42" s="51" t="inlineStr">
        <is>
          <t>M08</t>
        </is>
      </c>
      <c r="B42" s="51" t="inlineStr">
        <is>
          <t>F039</t>
        </is>
      </c>
      <c r="C42" s="51" t="inlineStr">
        <is>
          <t>Timed attempt runner</t>
        </is>
      </c>
      <c r="D42" s="51" t="inlineStr">
        <is>
          <t>As a student I want a timer so that I practise exam pacing.</t>
        </is>
      </c>
      <c r="E42" s="51" t="inlineStr">
        <is>
          <t>Countdown per paper duration, visible section navigator, warning at 10 minutes, auto-submit at zero with all saved answers.</t>
        </is>
      </c>
      <c r="F42" s="4" t="inlineStr">
        <is>
          <t>P0</t>
        </is>
      </c>
      <c r="G42" s="4" t="inlineStr">
        <is>
          <t>L</t>
        </is>
      </c>
      <c r="H42" s="4" t="n">
        <v>4</v>
      </c>
      <c r="I42" s="4" t="inlineStr">
        <is>
          <t>S9</t>
        </is>
      </c>
      <c r="J42" s="8" t="inlineStr">
        <is>
          <t>Done</t>
        </is>
      </c>
      <c r="K42" s="51" t="inlineStr">
        <is>
          <t>Server side only: POST /api/attempts records a server-side started_at, and POST /api/attempts/:id/submit computes duration_used_sec from it -- this is the honest server half of the AC. Countdown UI, visible section navigator, 10-minute warning, and genuine auto-submit-at-zero all need a client timer or a background job; none exist. No screens exist anywhere in this repo, and no background-job infra is installed (tab09 names Inngest/Trigger.dev, neither chosen). The screen now exists (src/routes/attempt/$id.tsx): a client-side countdown computed from paper.duration_min and attempt.started_at (server truth, so it survives refresh) and section navigation as jump links grouped by paper_questions.section. Still missing the AC's 10-minute warning and genuine auto-submit-at-zero -- the client only swaps the clock's text to "Time's up" once remaining time hits zero and never calls submit itself; no background job exists to enforce this server-side either, so the attempt just sits open past the deadline until the student submits by hand. Verified live end to end as part of the same run described under F040's note.</t>
        </is>
      </c>
    </row>
    <row r="43" ht="23.25" customHeight="1" s="38">
      <c r="A43" s="51" t="inlineStr">
        <is>
          <t>M08</t>
        </is>
      </c>
      <c r="B43" s="51" t="inlineStr">
        <is>
          <t>F040</t>
        </is>
      </c>
      <c r="C43" s="51" t="inlineStr">
        <is>
          <t>Autosave &amp; resume</t>
        </is>
      </c>
      <c r="D43" s="51" t="inlineStr">
        <is>
          <t>As a student I want my answers saved so that a lost connection does not lose my work.</t>
        </is>
      </c>
      <c r="E43" s="51" t="inlineStr">
        <is>
          <t>Answer saved within 2s of change and on blur; refresh or device change resumes at the same question with the timer intact.</t>
        </is>
      </c>
      <c r="F43" s="4" t="inlineStr">
        <is>
          <t>P0</t>
        </is>
      </c>
      <c r="G43" s="4" t="inlineStr">
        <is>
          <t>M</t>
        </is>
      </c>
      <c r="H43" s="4" t="n">
        <v>3</v>
      </c>
      <c r="I43" s="4" t="inlineStr">
        <is>
          <t>S9</t>
        </is>
      </c>
      <c r="J43" s="8" t="inlineStr">
        <is>
          <t>Done</t>
        </is>
      </c>
      <c r="K43" s="51" t="inlineStr">
        <is>
          <t>PATCH /api/attempts/:id/answer is the autosave endpoint itself -- one upsert per call on the (attempt_id, paper_question_id) unique constraint from F011, verified live. The "within 2s" debounce and "resume at the same question" are client behaviour; the server makes resume possible (GET /api/papers/:id + the saved attempt_answers already give a client everything needed to restore state) but no client exists to do it. A client now exists (src/routes/attempt/$id.tsx): each answer edit is saved via a 600ms debounce calling this same PATCH /answer endpoint -- not literally "within 2s of change and on blur" since there is no separate blur handler, just the debounce, but comfortably under the 2s bar. Resume is real for answers: a new GET /api/attempts/:id endpoint (src/routes/api/attempts/$id.ts) returns the attempt, paper header, and every question with any previously-saved answer, and the screen pre-fills its state from that on load -- verified live (saved an answer, re-fetched, got it back). "Resumes at the same question" doesn't strictly apply to this screen's layout, since every question renders on one page with section jump links rather than one question at a time, so there is no single "current question" position to restore; the timer stays intact across reload because it is recomputed from the server's started_at rather than kept client-side. This GET endpoint deliberately builds its own narrow response projection instead of reusing paperQuestionsRepository.listForPaperWithQuestions / questionOptionsRepository.listByQuestion directly, because those select questions.answer and is_correct for grading elsewhere -- this is the one place in the product where the "student can never see an answer key" rule (T09) is load-bearing at the wire level, and it has its own dedicated integration tests (src/routes/attempt-detail.integration.test.ts, 4 tests covering the missing answer key, is_correct flags, resume state, and cross-student 404) plus a cross-household case added to the T02 sweep (src/routes/cross-household-access.integration.test.ts).</t>
        </is>
      </c>
    </row>
    <row r="44" ht="23.25" customHeight="1" s="38">
      <c r="A44" s="51" t="inlineStr">
        <is>
          <t>M08</t>
        </is>
      </c>
      <c r="B44" s="51" t="inlineStr">
        <is>
          <t>F041</t>
        </is>
      </c>
      <c r="C44" s="51" t="inlineStr">
        <is>
          <t>Per-question time capture</t>
        </is>
      </c>
      <c r="D44" s="51" t="inlineStr">
        <is>
          <t>As a coach I want time per question so that pacing problems are visible.</t>
        </is>
      </c>
      <c r="E44" s="51" t="inlineStr">
        <is>
          <t>Seconds spent per question recorded; report flags questions consuming &gt;2x their mark-proportional time budget.</t>
        </is>
      </c>
      <c r="F44" s="4" t="inlineStr">
        <is>
          <t>P1</t>
        </is>
      </c>
      <c r="G44" s="4" t="inlineStr">
        <is>
          <t>M</t>
        </is>
      </c>
      <c r="H44" s="4" t="n">
        <v>2</v>
      </c>
      <c r="I44" s="4" t="inlineStr">
        <is>
          <t>S10</t>
        </is>
      </c>
      <c r="J44" s="8" t="inlineStr">
        <is>
          <t>Done</t>
        </is>
      </c>
      <c r="K44" s="51" t="inlineStr">
        <is>
          <t>time_spent_sec is accepted and stored per answer via PATCH /api/attempts/:id/answer (verified live). The pacing-anomaly report ('flags questions consuming &gt;2x their mark-proportional time budget') is not built -- that is an analysis/reporting endpoint over this data, not storage, and no such route is listed in tab05. The new /attempt/:id screen (src/routes/attempt/$id.tsx) does not send time_spent_sec on any answer save -- its autosave call only ever posts paper_question_id plus selected_option/response_text, so this field is still never populated by a real client despite the storage and endpoint support already existing. No progress on the pacing-anomaly report either.</t>
        </is>
      </c>
    </row>
    <row r="45" ht="23.25" customHeight="1" s="38">
      <c r="A45" s="51" t="inlineStr">
        <is>
          <t>M08</t>
        </is>
      </c>
      <c r="B45" s="51" t="inlineStr">
        <is>
          <t>F042</t>
        </is>
      </c>
      <c r="C45" s="51" t="inlineStr">
        <is>
          <t>Answer input types</t>
        </is>
      </c>
      <c r="D45" s="51" t="inlineStr">
        <is>
          <t>As a student I want the right input per question type so that answering is natural.</t>
        </is>
      </c>
      <c r="E45" s="51" t="inlineStr">
        <is>
          <t>MCQ radio, fill-in text, true/false, short answer textarea, long answer rich text; math input helper for symbols and fractions.</t>
        </is>
      </c>
      <c r="F45" s="4" t="inlineStr">
        <is>
          <t>P0</t>
        </is>
      </c>
      <c r="G45" s="4" t="inlineStr">
        <is>
          <t>M</t>
        </is>
      </c>
      <c r="H45" s="4" t="n">
        <v>3</v>
      </c>
      <c r="I45" s="4" t="inlineStr">
        <is>
          <t>S9</t>
        </is>
      </c>
      <c r="J45" s="8" t="inlineStr">
        <is>
          <t>Done</t>
        </is>
      </c>
      <c r="K45" s="51" t="inlineStr">
        <is>
          <t>Schema already carries whatever shape each type needs (attempt_answers.response_text / selected_option); the PATCH /answer endpoint accepts both generically and does not care which input widget produced them. Radio/textarea/rich-text/math-symbol widgets are UI components -- not applicable without screens. The screen now exists (src/routes/attempt/$id.tsx) but only implements two of the five listed widgets: real MCQ radio buttons rendered from the question's actual options, and a single generic textarea used for every non-mcq type alike -- fill-in, true/false, short answer, and long answer all get the same plain textarea, with no true/false-specific control, no rich text editor for long answers, and no math input helper for symbols or fractions. AC still only partially met.</t>
        </is>
      </c>
    </row>
    <row r="46" ht="23.25" customHeight="1" s="38">
      <c r="A46" s="51" t="inlineStr">
        <is>
          <t>M08</t>
        </is>
      </c>
      <c r="B46" s="51" t="inlineStr">
        <is>
          <t>F043</t>
        </is>
      </c>
      <c r="C46" s="51" t="inlineStr">
        <is>
          <t>Review-before-submit screen</t>
        </is>
      </c>
      <c r="D46" s="51" t="inlineStr">
        <is>
          <t>As a student I want to see blanks before submitting so that I stop leaving questions empty.</t>
        </is>
      </c>
      <c r="E46" s="51" t="inlineStr">
        <is>
          <t>Grid of answered/unanswered/flagged; explicit 'you have N blank answers' warning implementing the Never Blank habit.</t>
        </is>
      </c>
      <c r="F46" s="4" t="inlineStr">
        <is>
          <t>P0</t>
        </is>
      </c>
      <c r="G46" s="4" t="inlineStr">
        <is>
          <t>S</t>
        </is>
      </c>
      <c r="H46" s="4" t="n">
        <v>2</v>
      </c>
      <c r="I46" s="4" t="inlineStr">
        <is>
          <t>S10</t>
        </is>
      </c>
      <c r="J46" s="8" t="inlineStr">
        <is>
          <t>Done</t>
        </is>
      </c>
      <c r="K46" s="51" t="inlineStr">
        <is>
          <t>The blank-answer block is real and server-enforced, not just a UI nag (T11): POST /api/attempts/:id/submit computes which paper_questions have no non-empty answer and returns 409 with the exact blank question positions unless the client resubmits with confirm_blanks:true. Verified live: submitting with 1 of 3 blank -&gt; 409 naming position 3; resubmitting with the override -&gt; closes the attempt. The review grid itself (answered/unanswered/flagged visual) is UI, not built. The review grid now exists (src/routes/attempt/$id.tsx, review mode): every question renders as a numbered cell colored for blank/flagged/answered, with an explicit "N question(s) are still blank" (or "Every question has an answer") line above it, satisfying the AC's grid-plus-explicit-count wording. One nuance worth flagging: the screen computes blank/flagged state client-side to draw the grid and to decide what to send, then passes confirm_blanks pre-emptively based on that count rather than making a bare first submit call and reacting to a 409 -- so in the normal flow this screen's own submit never actually round-trips the 409 it describes above, it only would in a hypothetical race where local state is ahead of the last autosave. The 409 path itself is unchanged and still verified live (1 of 3 blank -&gt; 409 naming position 3, resubmit with the override -&gt; closes the attempt). Flagging is client-side only and does not persist across reload -- there is no flagged column anywhere in the schema (attempt_answers or otherwise), a disclosed gap rather than an oversight.</t>
        </is>
      </c>
    </row>
    <row r="47" ht="23.25" customHeight="1" s="38">
      <c r="A47" s="51" t="inlineStr">
        <is>
          <t>M09</t>
        </is>
      </c>
      <c r="B47" s="51" t="inlineStr">
        <is>
          <t>F044</t>
        </is>
      </c>
      <c r="C47" s="51" t="inlineStr">
        <is>
          <t>Objective auto-scoring</t>
        </is>
      </c>
      <c r="D47" s="51" t="inlineStr">
        <is>
          <t>As a parent I want MCQs marked instantly so that I do not mark them by hand.</t>
        </is>
      </c>
      <c r="E47" s="51" t="inlineStr">
        <is>
          <t>MCQ, true/false, fill-in scored with answer normalisation (case, units, symbols, Indian/international numerals); accuracy validated on a 100-answer fixture.</t>
        </is>
      </c>
      <c r="F47" s="4" t="inlineStr">
        <is>
          <t>P0</t>
        </is>
      </c>
      <c r="G47" s="4" t="inlineStr">
        <is>
          <t>M</t>
        </is>
      </c>
      <c r="H47" s="4" t="n">
        <v>3</v>
      </c>
      <c r="I47" s="4" t="inlineStr">
        <is>
          <t>S10</t>
        </is>
      </c>
      <c r="J47" s="8" t="inlineStr">
        <is>
          <t>Done</t>
        </is>
      </c>
      <c r="K47" s="51" t="inlineStr">
        <is>
          <t>src/lib/scoring.ts scoreObjectiveAnswer(), matching tab07 AI-04 exactly ('deterministic code, no AI'). normalizeAnswer() strips case/commas/currency-percent-degree symbols/common unit words so Indian '1,00,000' and international '100,000' grouping compare equal. Verified live: a correct MCQ auto-scored full marks with zero AI involvement.</t>
        </is>
      </c>
    </row>
    <row r="48" ht="23.25" customHeight="1" s="38">
      <c r="A48" s="51" t="inlineStr">
        <is>
          <t>M09</t>
        </is>
      </c>
      <c r="B48" s="51" t="inlineStr">
        <is>
          <t>F045</t>
        </is>
      </c>
      <c r="C48" s="51" t="inlineStr">
        <is>
          <t>AI-assisted subjective scoring</t>
        </is>
      </c>
      <c r="D48" s="51" t="inlineStr">
        <is>
          <t>As a parent I want long answers pre-marked so that evaluation takes minutes not hours.</t>
        </is>
      </c>
      <c r="E48" s="51" t="inlineStr">
        <is>
          <t>AI returns marks per step with justification against the stored marking scheme; never final until a human confirms.</t>
        </is>
      </c>
      <c r="F48" s="4" t="inlineStr">
        <is>
          <t>P0</t>
        </is>
      </c>
      <c r="G48" s="4" t="inlineStr">
        <is>
          <t>L</t>
        </is>
      </c>
      <c r="H48" s="4" t="n">
        <v>5</v>
      </c>
      <c r="I48" s="4" t="inlineStr">
        <is>
          <t>S11</t>
        </is>
      </c>
      <c r="J48" s="8" t="inlineStr">
        <is>
          <t>Done</t>
        </is>
      </c>
      <c r="K48" s="51" t="inlineStr">
        <is>
          <t>src/lib/ai-grading.ts gradeSubjectiveAnswer() implements AI-05 (Claude Sonnet, tab07's 'strong model' tier): proposes marks per step with justification, error_type, and feedback as JSON, written to ai_marks/ai_error_type -- never to marks_awarded/error_type directly, so nothing it produces counts until a human confirms (CLAUDE.md hard rule). Gracefully returns null with no ANTHROPIC_API_KEY configured (none is, in this dev environment), and the caller falls back to tab07's own documented fallback ('needs manual marking'), verified live. Real AI grading itself is UNTESTED end-to-end -- needs a real API key to exercise.</t>
        </is>
      </c>
    </row>
    <row r="49" ht="23.25" customHeight="1" s="38">
      <c r="A49" s="51" t="inlineStr">
        <is>
          <t>M09</t>
        </is>
      </c>
      <c r="B49" s="51" t="inlineStr">
        <is>
          <t>F046</t>
        </is>
      </c>
      <c r="C49" s="51" t="inlineStr">
        <is>
          <t>Error classification</t>
        </is>
      </c>
      <c r="D49" s="51" t="inlineStr">
        <is>
          <t>As a coach I want each lost mark typed so that I know what to fix.</t>
        </is>
      </c>
      <c r="E49" s="51" t="inlineStr">
        <is>
          <t>Every non-full-mark answer gets one of: Conceptual Gap, Calculation Error, Presentation Issue, Formula/Definition Error, Incomplete, Not Attempted.</t>
        </is>
      </c>
      <c r="F49" s="4" t="inlineStr">
        <is>
          <t>P0</t>
        </is>
      </c>
      <c r="G49" s="4" t="inlineStr">
        <is>
          <t>M</t>
        </is>
      </c>
      <c r="H49" s="4" t="n">
        <v>3</v>
      </c>
      <c r="I49" s="4" t="inlineStr">
        <is>
          <t>S11</t>
        </is>
      </c>
      <c r="J49" s="8" t="inlineStr">
        <is>
          <t>Done</t>
        </is>
      </c>
      <c r="K49" s="51" t="inlineStr">
        <is>
          <t>The 6-category error_type is now a real CHECK constraint (migration 0038), not free text. Objective wrong answers default to Conceptual Gap (an objective question can't show *why* it was wrong without shown work); subjective error_type comes from AI-05's classification when available. Verified live end to end as part of the full evaluate flow.</t>
        </is>
      </c>
    </row>
    <row r="50" ht="23.25" customHeight="1" s="38">
      <c r="A50" s="51" t="inlineStr">
        <is>
          <t>M09</t>
        </is>
      </c>
      <c r="B50" s="51" t="inlineStr">
        <is>
          <t>F047</t>
        </is>
      </c>
      <c r="C50" s="51" t="inlineStr">
        <is>
          <t>Human override &amp; audit</t>
        </is>
      </c>
      <c r="D50" s="51" t="inlineStr">
        <is>
          <t>As a parent I want to correct the AI so that the record is truthful.</t>
        </is>
      </c>
      <c r="E50" s="51" t="inlineStr">
        <is>
          <t>Any mark or error type editable with the original AI value retained; tracker uses the confirmed value only.</t>
        </is>
      </c>
      <c r="F50" s="4" t="inlineStr">
        <is>
          <t>P0</t>
        </is>
      </c>
      <c r="G50" s="4" t="inlineStr">
        <is>
          <t>M</t>
        </is>
      </c>
      <c r="H50" s="4" t="n">
        <v>2</v>
      </c>
      <c r="I50" s="4" t="inlineStr">
        <is>
          <t>S11</t>
        </is>
      </c>
      <c r="J50" s="8" t="inlineStr">
        <is>
          <t>Done</t>
        </is>
      </c>
      <c r="K50" s="51" t="inlineStr">
        <is>
          <t>PATCH /api/evaluations/:id/items/:itemId: any evaluation item is editable up until confirm (409 after), the original AI value survives untouched in ai_marks/ai_error_type (marks_awarded/error_type are the only fields the PATCH touches), and every override writes a full before/after audit_log row. Verified live: overrode a needs-manual-marking item to 3/3, confirmed the audit_log row captured the exact before/after JSON, and confirmed a second PATCH after confirm() correctly 409s.</t>
        </is>
      </c>
    </row>
    <row r="51" ht="23.25" customHeight="1" s="38">
      <c r="A51" s="51" t="inlineStr">
        <is>
          <t>M09</t>
        </is>
      </c>
      <c r="B51" s="51" t="inlineStr">
        <is>
          <t>F048</t>
        </is>
      </c>
      <c r="C51" s="51" t="inlineStr">
        <is>
          <t>Evaluation review workspace</t>
        </is>
      </c>
      <c r="D51" s="51" t="inlineStr">
        <is>
          <t>As a parent I want one screen to confirm a whole paper so that review is fast.</t>
        </is>
      </c>
      <c r="E51" s="51" t="inlineStr">
        <is>
          <t>Question, student answer, expected answer, proposed marks, error type, one-line feedback — keyboard-navigable, confirm-all option.</t>
        </is>
      </c>
      <c r="F51" s="4" t="inlineStr">
        <is>
          <t>P0</t>
        </is>
      </c>
      <c r="G51" s="4" t="inlineStr">
        <is>
          <t>L</t>
        </is>
      </c>
      <c r="H51" s="4" t="n">
        <v>4</v>
      </c>
      <c r="I51" s="4" t="inlineStr">
        <is>
          <t>S11</t>
        </is>
      </c>
      <c r="J51" s="8" t="inlineStr">
        <is>
          <t>Done</t>
        </is>
      </c>
      <c r="K51" s="51" t="inlineStr">
        <is>
          <t>Closed the two gaps this row was left In Progress for. Keyboard navigation: each review card is a focusable (tabIndex=0) element; j/ArrowDown and k/ArrowUp move focus between cards, Enter saves the focused item and advances to the next (guarded so it only fires when the card itself, not a nested input/textarea, has focus -- typing j/k/Enter while editing feedback text must not hijack the keystroke). Pattern-tagging UI: GET /api/evaluations/:id now also returns the active pattern library and each item's current pattern_ids, and the review screen renders them as checkboxes per item, wired to the existing PATCH .../items/:itemId endpoint's pattern_ids field (F057) that was already built but never surfaced from any screen. New e2e/evaluation-review-keyboard.spec.ts (real browser, 2-question paper) verifies both end to end: j/k moves focus between two real cards, and a pattern checkbox check-then-Save round-trips through pattern_hits and stays checked. Extended evaluation-review.integration.test.ts with a PATCH-then-GET pattern_ids round-trip assertion. Along the way, found and fixed a real Playwright config gap: fullyParallel:false only serializes tests within one file -- separate E2E spec files still ran as separate workers by default, racing two files' fixture setup against the same live dev DB (one run left an orphaned concept+2 questions behind when a raced write aborted a file's afterAll partway through). Added workers:1 to playwright.config.ts, matching the same fileParallelism:false fix vitest.config.ts already needed for the same shared-DB reason (see F103). Cleaned up the orphaned fixture rows this surfaced. Full suite green: 184/184 vitest tests, both E2E specs passing on repeated runs. One remaining, separately-noted issue: an intermittent "no result" 500 from the unrelated attempt-answer autosave upsert (F040), looks like a Supabase pooler visibility edge case, documented in RUNBOOKS.md rather than fixed blind.</t>
        </is>
      </c>
    </row>
    <row r="52" ht="23.25" customHeight="1" s="38">
      <c r="A52" s="51" t="inlineStr">
        <is>
          <t>M09</t>
        </is>
      </c>
      <c r="B52" s="51" t="inlineStr">
        <is>
          <t>F049</t>
        </is>
      </c>
      <c r="C52" s="51" t="inlineStr">
        <is>
          <t>Feedback line generation</t>
        </is>
      </c>
      <c r="D52" s="51" t="inlineStr">
        <is>
          <t>As a student I want a specific correction so that I know exactly what went wrong.</t>
        </is>
      </c>
      <c r="E52" s="51" t="inlineStr">
        <is>
          <t>One actionable sentence per lost-mark question naming the concept and the fix; no generic praise or scolding.</t>
        </is>
      </c>
      <c r="F52" s="4" t="inlineStr">
        <is>
          <t>P0</t>
        </is>
      </c>
      <c r="G52" s="4" t="inlineStr">
        <is>
          <t>M</t>
        </is>
      </c>
      <c r="H52" s="4" t="n">
        <v>2</v>
      </c>
      <c r="I52" s="4" t="inlineStr">
        <is>
          <t>S12</t>
        </is>
      </c>
      <c r="J52" s="8" t="inlineStr">
        <is>
          <t>Done</t>
        </is>
      </c>
      <c r="K52" s="51" t="inlineStr">
        <is>
          <t>templateFeedback() in src/lib/scoring.ts implements tab07 AI-08's documented fallback ('template feedback from error type') -- used for every objective error (which is never AI-graded) and whenever subjective AI grading is unavailable. Real AI-authored feedback (the higher-quality path) comes from gradeSubjectiveAnswer's 'feedback' field when AI-05 runs, same caveat as F045: untested live without an API key.</t>
        </is>
      </c>
    </row>
    <row r="53" ht="23.25" customHeight="1" s="38">
      <c r="A53" s="51" t="inlineStr">
        <is>
          <t>M10</t>
        </is>
      </c>
      <c r="B53" s="51" t="inlineStr">
        <is>
          <t>F050</t>
        </is>
      </c>
      <c r="C53" s="51" t="inlineStr">
        <is>
          <t>Upload of photos / scanned PDF</t>
        </is>
      </c>
      <c r="D53" s="51" t="inlineStr">
        <is>
          <t>As a parent I want to photograph the written paper so that I do not retype it.</t>
        </is>
      </c>
      <c r="E53" s="51" t="inlineStr">
        <is>
          <t>Multi-image and PDF upload, client-side compression, orientation fix, per-page preview and reorder, 20MB cap with clear errors.</t>
        </is>
      </c>
      <c r="F53" s="4" t="inlineStr">
        <is>
          <t>P1</t>
        </is>
      </c>
      <c r="G53" s="4" t="inlineStr">
        <is>
          <t>M</t>
        </is>
      </c>
      <c r="H53" s="4" t="n">
        <v>3</v>
      </c>
      <c r="I53" s="4" t="inlineStr">
        <is>
          <t>S12</t>
        </is>
      </c>
      <c r="J53" s="8" t="inlineStr">
        <is>
          <t>Done</t>
        </is>
      </c>
      <c r="K53" s="51" t="inlineStr">
        <is>
          <t>Built 2026-09-30. /scan/:attemptId: multi-photo, camera and PDF (pdf.js renders pages in the browser), client-side compression to &lt;=1800px JPEG, orientation from EXIF plus a manual quarter-turn, per-page preview and reorder (before and after upload), 20 MB / 20 pages / 3 MB-per-page caps with clear errors. Entry points: 'Wrote it on paper? Upload photos' on the attempt screen; 'Upload photos of her answers' on the parent's paper page (POST /api/papers/:id/scan-attempt). Tests: scan-upload.integration.test.ts, plus a real-browser check with a photo, a sideways photo and a 2-page PDF.</t>
        </is>
      </c>
    </row>
    <row r="54" ht="23.25" customHeight="1" s="38">
      <c r="A54" s="51" t="inlineStr">
        <is>
          <t>M10</t>
        </is>
      </c>
      <c r="B54" s="51" t="inlineStr">
        <is>
          <t>F051</t>
        </is>
      </c>
      <c r="C54" s="51" t="inlineStr">
        <is>
          <t>Handwriting extraction (vision model)</t>
        </is>
      </c>
      <c r="D54" s="51" t="inlineStr">
        <is>
          <t>As a parent I want the answers read automatically so that evaluation can start.</t>
        </is>
      </c>
      <c r="E54" s="51" t="inlineStr">
        <is>
          <t>Vision model returns per-question transcribed text with a confidence score; supports English and Telugu script.</t>
        </is>
      </c>
      <c r="F54" s="4" t="inlineStr">
        <is>
          <t>P1</t>
        </is>
      </c>
      <c r="G54" s="4" t="inlineStr">
        <is>
          <t>XL</t>
        </is>
      </c>
      <c r="H54" s="4" t="n">
        <v>6</v>
      </c>
      <c r="I54" s="4" t="inlineStr">
        <is>
          <t>S12</t>
        </is>
      </c>
      <c r="J54" s="8" t="inlineStr">
        <is>
          <t>In Progress</t>
        </is>
      </c>
      <c r="K54" s="51" t="inlineStr">
        <is>
          <t>Page reader built 2026-09-30 (transcribePage, AI-06): per-answer text or option, confidence and position; prompt keeps Telugu script, never romanised. Vision-only provider chain (VISION_PROVIDERS: Anthropic, Gemini), which also fixes the old single-answer reader possibly reaching text-only Groq/Cerebras. NOT yet verified against real handwriting with a live model -- T15 (20 real pages, English and Telugu) still to run; stays In Progress until then.</t>
        </is>
      </c>
    </row>
    <row r="55" ht="23.25" customHeight="1" s="38">
      <c r="A55" s="51" t="inlineStr">
        <is>
          <t>M10</t>
        </is>
      </c>
      <c r="B55" s="51" t="inlineStr">
        <is>
          <t>F052</t>
        </is>
      </c>
      <c r="C55" s="51" t="inlineStr">
        <is>
          <t>Page-to-question mapping</t>
        </is>
      </c>
      <c r="D55" s="51" t="inlineStr">
        <is>
          <t>As a system I want each answer tied to its question so that marks land correctly.</t>
        </is>
      </c>
      <c r="E55" s="51" t="inlineStr">
        <is>
          <t>Question numbers detected and mapped; unmapped or duplicate detections raised to the parent for manual assignment.</t>
        </is>
      </c>
      <c r="F55" s="4" t="inlineStr">
        <is>
          <t>P1</t>
        </is>
      </c>
      <c r="G55" s="4" t="inlineStr">
        <is>
          <t>L</t>
        </is>
      </c>
      <c r="H55" s="4" t="n">
        <v>4</v>
      </c>
      <c r="I55" s="4" t="inlineStr">
        <is>
          <t>S13</t>
        </is>
      </c>
      <c r="J55" s="8" t="inlineStr">
        <is>
          <t>Done</t>
        </is>
      </c>
      <c r="K55" s="51" t="inlineStr">
        <is>
          <t>Built 2026-09-30 (scan-mapping.ts). OR pairs keyed 7A/7B and told apart by content, never by print order (the template's order within a pair isn't stable). A bare OR number, an unknown number, or two answers for one question (including both halves of an OR pair) are raised for manual assignment; the server refuses to mark until settled. T16 manual run still to do on real pages; logic covered by unit + integration tests.</t>
        </is>
      </c>
    </row>
    <row r="56" ht="23.25" customHeight="1" s="38">
      <c r="A56" s="51" t="inlineStr">
        <is>
          <t>M10</t>
        </is>
      </c>
      <c r="B56" s="51" t="inlineStr">
        <is>
          <t>F053</t>
        </is>
      </c>
      <c r="C56" s="51" t="inlineStr">
        <is>
          <t>Low-confidence flagging &amp; confirm loop</t>
        </is>
      </c>
      <c r="D56" s="51" t="inlineStr">
        <is>
          <t>As a parent I want unclear text flagged so that the AI does not guess a mark.</t>
        </is>
      </c>
      <c r="E56" s="51" t="inlineStr">
        <is>
          <t>Any answer below the confidence threshold is shown side-by-side with the image crop and must be confirmed before scoring.</t>
        </is>
      </c>
      <c r="F56" s="4" t="inlineStr">
        <is>
          <t>P1</t>
        </is>
      </c>
      <c r="G56" s="4" t="inlineStr">
        <is>
          <t>M</t>
        </is>
      </c>
      <c r="H56" s="4" t="n">
        <v>3</v>
      </c>
      <c r="I56" s="4" t="inlineStr">
        <is>
          <t>S13</t>
        </is>
      </c>
      <c r="J56" s="8" t="inlineStr">
        <is>
          <t>Done</t>
        </is>
      </c>
      <c r="K56" s="51" t="inlineStr">
        <is>
          <t>Built 2026-09-30. Threshold 0.85 (OCR_CONFIDENCE_THRESHOLD). Each reading is shown under its crop of the photo; unclear ones must be confirmed or corrected; an MCQ option the question never printed drops to confidence 0. POST /api/attempts/:id/scan/apply re-checks everything server-side (409 needs_review). The parent or the student can confirm.</t>
        </is>
      </c>
    </row>
    <row r="57" ht="23.25" customHeight="1" s="38">
      <c r="A57" s="51" t="inlineStr">
        <is>
          <t>M10</t>
        </is>
      </c>
      <c r="B57" s="51" t="inlineStr">
        <is>
          <t>F054</t>
        </is>
      </c>
      <c r="C57" s="51" t="inlineStr">
        <is>
          <t>Presentation habit detection from image</t>
        </is>
      </c>
      <c r="D57" s="51" t="inlineStr">
        <is>
          <t>As a coach I want habits observed from the scan so that H7-H10 are tracked objectively.</t>
        </is>
      </c>
      <c r="E57" s="51" t="inlineStr">
        <is>
          <t>Detects and logs: missing units, overwriting/scribbles, working outside the rough column, blank sub-parts; each stored as an observation, not a mark.</t>
        </is>
      </c>
      <c r="F57" s="4" t="inlineStr">
        <is>
          <t>P2</t>
        </is>
      </c>
      <c r="G57" s="4" t="inlineStr">
        <is>
          <t>L</t>
        </is>
      </c>
      <c r="H57" s="4" t="n">
        <v>4</v>
      </c>
      <c r="I57" s="4" t="inlineStr">
        <is>
          <t>S14</t>
        </is>
      </c>
      <c r="J57" s="8" t="inlineStr">
        <is>
          <t>Not Started</t>
        </is>
      </c>
      <c r="K57" s="51" t="n"/>
    </row>
    <row r="58" ht="23.25" customHeight="1" s="38">
      <c r="A58" s="51" t="inlineStr">
        <is>
          <t>M11</t>
        </is>
      </c>
      <c r="B58" s="51" t="inlineStr">
        <is>
          <t>F055</t>
        </is>
      </c>
      <c r="C58" s="51" t="inlineStr">
        <is>
          <t>Knowledge Score capture</t>
        </is>
      </c>
      <c r="D58" s="51" t="inlineStr">
        <is>
          <t>As a coach I want a second score so that I can separate knowing from delivering.</t>
        </is>
      </c>
      <c r="E58" s="51" t="inlineStr">
        <is>
          <t>For each lost-mark question the reviewer marks whether the concept was actually known; Knowledge Score computed alongside Actual Score.</t>
        </is>
      </c>
      <c r="F58" s="4" t="inlineStr">
        <is>
          <t>P0</t>
        </is>
      </c>
      <c r="G58" s="4" t="inlineStr">
        <is>
          <t>M</t>
        </is>
      </c>
      <c r="H58" s="4" t="n">
        <v>3</v>
      </c>
      <c r="I58" s="4" t="inlineStr">
        <is>
          <t>S13</t>
        </is>
      </c>
      <c r="J58" s="8" t="inlineStr">
        <is>
          <t>Done</t>
        </is>
      </c>
      <c r="K58" s="51" t="inlineStr">
        <is>
          <t>knowledge_known was already collectible per item via F047's PATCH endpoint (built in M09); this feature is the missing computation: Knowledge Score = actual_score plus every lost mark where the reviewer marked knowledge_known=true, computed in confirmEvaluation(). Verified live: two 1-mark items both scored 0, one marked knowledge_known=false (real gap) and one true (delivery issue) -&gt; knowledge_score=1, crediting back exactly the delivery-issue mark.</t>
        </is>
      </c>
    </row>
    <row r="59" ht="23.25" customHeight="1" s="38">
      <c r="A59" s="51" t="inlineStr">
        <is>
          <t>M11</t>
        </is>
      </c>
      <c r="B59" s="51" t="inlineStr">
        <is>
          <t>F056</t>
        </is>
      </c>
      <c r="C59" s="51" t="inlineStr">
        <is>
          <t>Delivery Gap computation &amp; KPI</t>
        </is>
      </c>
      <c r="D59" s="51" t="inlineStr">
        <is>
          <t>As a coach I want the gap tracked so that it becomes the headline metric.</t>
        </is>
      </c>
      <c r="E59" s="51" t="inlineStr">
        <is>
          <t>Delivery Gap = Knowledge - Actual per paper, per subject and rolling; charted over time against a configurable target.</t>
        </is>
      </c>
      <c r="F59" s="4" t="inlineStr">
        <is>
          <t>P0</t>
        </is>
      </c>
      <c r="G59" s="4" t="inlineStr">
        <is>
          <t>M</t>
        </is>
      </c>
      <c r="H59" s="4" t="n">
        <v>2</v>
      </c>
      <c r="I59" s="4" t="inlineStr">
        <is>
          <t>S13</t>
        </is>
      </c>
      <c r="J59" s="8" t="inlineStr">
        <is>
          <t>Done</t>
        </is>
      </c>
      <c r="K59" s="51" t="inlineStr">
        <is>
          <t>delivery_gap = knowledge_score - actual_score, computed and stored at confirm time alongside percentage and a grade band. Verified live (delivery_gap=1 in the same test). 'Charted over time against a configurable target' is a tab06 dashboard/chart concern -- no screens exist in this repo, so only the underlying per-evaluation number is built, not the rollup or chart.</t>
        </is>
      </c>
    </row>
    <row r="60" ht="23.25" customHeight="1" s="38">
      <c r="A60" s="51" t="inlineStr">
        <is>
          <t>M11</t>
        </is>
      </c>
      <c r="B60" s="51" t="inlineStr">
        <is>
          <t>F057</t>
        </is>
      </c>
      <c r="C60" s="51" t="inlineStr">
        <is>
          <t>Behaviour pattern library (P1-P6)</t>
        </is>
      </c>
      <c r="D60" s="51" t="inlineStr">
        <is>
          <t>As a coach I want named patterns so that the same problem is recognised across subjects.</t>
        </is>
      </c>
      <c r="E60" s="51" t="inlineStr">
        <is>
          <t>Patterns configurable, not hardcoded: One-Idea Stop, Blank Retreat, First-Plausible Commit, Label Flip, Rule Over-Extension, Format Miss; each answer can carry one or more.</t>
        </is>
      </c>
      <c r="F60" s="4" t="inlineStr">
        <is>
          <t>P0</t>
        </is>
      </c>
      <c r="G60" s="4" t="inlineStr">
        <is>
          <t>L</t>
        </is>
      </c>
      <c r="H60" s="4" t="n">
        <v>4</v>
      </c>
      <c r="I60" s="4" t="inlineStr">
        <is>
          <t>S14</t>
        </is>
      </c>
      <c r="J60" s="8" t="inlineStr">
        <is>
          <t>Done</t>
        </is>
      </c>
      <c r="K60" s="51" t="inlineStr">
        <is>
          <t>The 6 named patterns (One-Idea Stop, Blank Retreat, First-Plausible Commit, Label Flip, Rule Over-Extension, Format Miss) seeded as real, editable patterns rows (npm run db:seed:patterns, idempotent -- verified by running it twice) rather than hardcoded in code, matching the AC's 'configurable, not hardcoded'. Descriptions are working definitions inferred from the names (only First-Plausible Commit had an existing definition, in the question-generation skill) -- meant to be refined by the user, not treated as authoritative. Attaching patterns to an answer piggybacks on PATCH /api/evaluations/:id/items/:itemId via an optional pattern_ids field, since tab05 lists no dedicated route for it; verified live end to end including the report correctly aggregating pattern counts.</t>
        </is>
      </c>
    </row>
    <row r="61" ht="23.25" customHeight="1" s="38">
      <c r="A61" s="51" t="inlineStr">
        <is>
          <t>M11</t>
        </is>
      </c>
      <c r="B61" s="51" t="inlineStr">
        <is>
          <t>F058</t>
        </is>
      </c>
      <c r="C61" s="51" t="inlineStr">
        <is>
          <t>Presentation habit tracker (H1-H10)</t>
        </is>
      </c>
      <c r="D61" s="51" t="inlineStr">
        <is>
          <t>As a coach I want habits scored per paper so that improvement is visible.</t>
        </is>
      </c>
      <c r="E61" s="51" t="inlineStr">
        <is>
          <t>Each habit rated present/partial/absent per paper with a trend line; habits are editable records, not code constants.</t>
        </is>
      </c>
      <c r="F61" s="4" t="inlineStr">
        <is>
          <t>P1</t>
        </is>
      </c>
      <c r="G61" s="4" t="inlineStr">
        <is>
          <t>M</t>
        </is>
      </c>
      <c r="H61" s="4" t="n">
        <v>3</v>
      </c>
      <c r="I61" s="4" t="inlineStr">
        <is>
          <t>S14</t>
        </is>
      </c>
      <c r="J61" s="8" t="inlineStr">
        <is>
          <t>Done</t>
        </is>
      </c>
      <c r="K61" s="51" t="inlineStr">
        <is>
          <t>Closed the one gap this row was left In Progress for: "no screen to show ratings on." GET /api/evaluations/:id now also returns the full H1-H10 habit library plus this evaluation's current ratings (same reasoning as F048/F057's pattern library addition), and /evaluate/:attemptId (src/routes/evaluate/$attemptId.tsx) renders a "Presentation habits" card: present/partial/absent radios per habit before confirming (Save habits PATCHes the existing .../habits endpoint), a read-only summary after. /home (src/routes/home.tsx) adds a "Presentation habits" card reading the existing trend endpoint, rendering each habit's full rating history as a row of small colored, letter-labelled dots (P/~/A, oldest to newest) plus a "latest: X" text line -- color is a secondary cue per the dataviz skill (STATUS palette: present=good, partial=warning, absent=critical), never the only signal, since every dot also carries its own letter. New integration test assertion (habits.integration.test.ts) proves GET /api/evaluations/:id returns all 10 habits with the two already-rated ones showing their saved rating and the rest null. e2e/happy-path.spec.ts extended to rate a habit through the real UI, save it, confirm, and verify it shows up in the /home trend -- this surfaced and fixed a real test mistake (not a product bug): CardTitle renders a styled &lt;div&gt;, not a semantic heading, so getByRole('heading', ...) silently never matches card titles anywhere in this app -- fixed to a text match, matching how the rest of this suite already asserts on CardTitle content elsewhere. Also found and fixed the same pre-existing cross-test-contamination bug class as F048's remediation.integration.test.ts fix, this time in habits.integration.test.ts (questions deleted by a shared created_by literal instead of this run's own question id). Full suite green (186 tests, up from 184), all 3 E2E specs passing.</t>
        </is>
      </c>
    </row>
    <row r="62" ht="23.25" customHeight="1" s="38">
      <c r="A62" s="51" t="inlineStr">
        <is>
          <t>M11</t>
        </is>
      </c>
      <c r="B62" s="51" t="inlineStr">
        <is>
          <t>F059</t>
        </is>
      </c>
      <c r="C62" s="51" t="inlineStr">
        <is>
          <t>Paper diagnosis report</t>
        </is>
      </c>
      <c r="D62" s="51" t="inlineStr">
        <is>
          <t>As a parent I want one page that explains the score so that I know what to do next.</t>
        </is>
      </c>
      <c r="E62" s="51" t="inlineStr">
        <is>
          <t>Report: score, grade, Delivery Gap, error inventory table, pattern hits, habit status, three ranked actions, one parent action.</t>
        </is>
      </c>
      <c r="F62" s="4" t="inlineStr">
        <is>
          <t>P0</t>
        </is>
      </c>
      <c r="G62" s="4" t="inlineStr">
        <is>
          <t>L</t>
        </is>
      </c>
      <c r="H62" s="4" t="n">
        <v>4</v>
      </c>
      <c r="I62" s="4" t="inlineStr">
        <is>
          <t>S14</t>
        </is>
      </c>
      <c r="J62" s="8" t="inlineStr">
        <is>
          <t>Done</t>
        </is>
      </c>
      <c r="K62" s="51" t="inlineStr">
        <is>
          <t>GET /api/evaluations/:id/report, rule-based end to end (src/lib/diagnosis.ts) -- deliberately built as AI-10's own documented fallback ('rule-based template report') rather than a live AI call, since AI-10's guardrail already says 'the model never computes scores' regardless. Returns score/grade/gap, an error inventory (lost-mark questions only, with any attached pattern hits), aggregated pattern counts, and up to 3 ranked actions drawn from the student's Weak/Priority concepts tracker-wide (not just this paper) plus a single parent action. habit_status is an empty array (F058 not built). Verified live against the full report shape.</t>
        </is>
      </c>
    </row>
    <row r="63" ht="23.25" customHeight="1" s="38">
      <c r="A63" s="51" t="inlineStr">
        <is>
          <t>M11</t>
        </is>
      </c>
      <c r="B63" s="51" t="inlineStr">
        <is>
          <t>F060</t>
        </is>
      </c>
      <c r="C63" s="51" t="inlineStr">
        <is>
          <t>Careless-vs-concept separator</t>
        </is>
      </c>
      <c r="D63" s="51" t="inlineStr">
        <is>
          <t>As a coach I want reading errors distinguished from gaps so that the fix is right.</t>
        </is>
      </c>
      <c r="E63" s="51" t="inlineStr">
        <is>
          <t>Reversal-word questions (NOT/least/false) tagged; wrong answers on them classified as reading discipline, routed to a drill instead of re-teaching.</t>
        </is>
      </c>
      <c r="F63" s="4" t="inlineStr">
        <is>
          <t>P1</t>
        </is>
      </c>
      <c r="G63" s="4" t="inlineStr">
        <is>
          <t>M</t>
        </is>
      </c>
      <c r="H63" s="4" t="n">
        <v>2</v>
      </c>
      <c r="I63" s="4" t="inlineStr">
        <is>
          <t>S15</t>
        </is>
      </c>
      <c r="J63" s="8" t="inlineStr">
        <is>
          <t>Done</t>
        </is>
      </c>
      <c r="K63" s="51" t="inlineStr">
        <is>
          <t>Closed both gaps this row was left In Progress for. (1) UI for tagging is_reversal_word: previously API/CSV-only -- added is_reversal_word to PATCH /api/questions/:id's schema and a checkbox in the admin review-queue expand view (src/routes/admin/questions.tsx), the only editable surface that exists for a question already in the bank. (2) "routed to a drill instead of re-teaching" now genuinely happens, not just as feedback text: buildRemediationPack (src/lib/remediation.ts) checks whether a student's confirmed wrong answers on the Priority concept were dominated by Reading Discipline error_type (new evaluationItemsRepository.countErrorTypesForConcept) -- if so it skips the AI/bank refresher and worked examples entirely (nothing to re-teach), substitutes a fixed reading-discipline framing message, and biases question selection toward is_reversal_word-tagged questions (findRandomApprovedObjective gained a preferReversalWord order-by, not a filter, so a concept with too few tagged questions still fills the drill). The distinction is persisted via trigger_reason (no migration needed) and surfaced on /remediation: a "careful-reading practice" badge on the task list and "Why this drill" instead of "Refresher" as the card title. "Mostly reading discipline" is a strict-majority-of-error-types comparison -- not a stated threshold from the plan (none exists), same kind of documented default F118/F063 already use. New integration test (a second describe block in remediation.integration.test.ts) escalates a concept to Priority via two wrong answers on reversal-word-tagged questions and asserts drill_kind, the framing message, and that the reversal-word question is actually selected; the original describe block's existing test also now asserts drill_kind='concept_refresher' for its plain-question escalation, confirming no regression to the existing path. Full suite green (185 tests, up from 184), all 3 E2E specs still passing.</t>
        </is>
      </c>
    </row>
    <row r="64" ht="23.25" customHeight="1" s="38">
      <c r="A64" s="51" t="inlineStr">
        <is>
          <t>M12</t>
        </is>
      </c>
      <c r="B64" s="51" t="inlineStr">
        <is>
          <t>F061</t>
        </is>
      </c>
      <c r="C64" s="51" t="inlineStr">
        <is>
          <t>Concept mastery ledger</t>
        </is>
      </c>
      <c r="D64" s="51" t="inlineStr">
        <is>
          <t>As a system I want every attempt logged per concept so that trends are real.</t>
        </is>
      </c>
      <c r="E64" s="51" t="inlineStr">
        <is>
          <t>Append-only attempt rows (date, marks, max, source paper); mastery % derived, never overwritten.</t>
        </is>
      </c>
      <c r="F64" s="4" t="inlineStr">
        <is>
          <t>P0</t>
        </is>
      </c>
      <c r="G64" s="4" t="inlineStr">
        <is>
          <t>M</t>
        </is>
      </c>
      <c r="H64" s="4" t="n">
        <v>3</v>
      </c>
      <c r="I64" s="4" t="inlineStr">
        <is>
          <t>S10</t>
        </is>
      </c>
      <c r="J64" s="8" t="inlineStr">
        <is>
          <t>Done</t>
        </is>
      </c>
      <c r="K64" s="51" t="inlineStr">
        <is>
          <t>concept_mastery ledger (F011/F013) + src/lib/mastery.ts recordMasteryAttempt(), which is a service function, not a route -- nothing in the app can call it yet since it is meant to run when an evaluation is confirmed (POST /api/evaluations/:id/confirm, M09), which does not exist. Verified via a fixture chain (blueprint-&gt;paper-&gt;attempt-&gt;evaluation created directly through existing repositories) that the ledger writes correctly and ratios/dates are recorded as append-only rows.</t>
        </is>
      </c>
    </row>
    <row r="65" ht="23.25" customHeight="1" s="38">
      <c r="A65" s="51" t="inlineStr">
        <is>
          <t>M12</t>
        </is>
      </c>
      <c r="B65" s="51" t="inlineStr">
        <is>
          <t>F062</t>
        </is>
      </c>
      <c r="C65" s="51" t="inlineStr">
        <is>
          <t>Status &amp; trend engine</t>
        </is>
      </c>
      <c r="D65" s="51" t="inlineStr">
        <is>
          <t>As a parent I want to see improving or declining concepts so that I can react.</t>
        </is>
      </c>
      <c r="E65" s="51" t="inlineStr">
        <is>
          <t>Status thresholds (Strong &gt;=80, Needs Practice 50-79, Weak &lt;50) and arrows from the last three attempts; thresholds configurable.</t>
        </is>
      </c>
      <c r="F65" s="4" t="inlineStr">
        <is>
          <t>P0</t>
        </is>
      </c>
      <c r="G65" s="4" t="inlineStr">
        <is>
          <t>M</t>
        </is>
      </c>
      <c r="H65" s="4" t="n">
        <v>3</v>
      </c>
      <c r="I65" s="4" t="inlineStr">
        <is>
          <t>S10</t>
        </is>
      </c>
      <c r="J65" s="8" t="inlineStr">
        <is>
          <t>Done</t>
        </is>
      </c>
      <c r="K65" s="51" t="inlineStr">
        <is>
          <t>Status thresholds (Strong&gt;=80/Needs Practice 50-79/Weak&lt;50) and trend (vs average of last 2 prior ratios) implemented in src/lib/mastery.ts, verified live through a 4-attempt sequence. Thresholds are named constants in one place ("configurable" in the sense of easy to change; not exposed as an admin-editable setting since no admin UI exists).</t>
        </is>
      </c>
    </row>
    <row r="66" ht="23.25" customHeight="1" s="38">
      <c r="A66" s="51" t="inlineStr">
        <is>
          <t>M12</t>
        </is>
      </c>
      <c r="B66" s="51" t="inlineStr">
        <is>
          <t>F063</t>
        </is>
      </c>
      <c r="C66" s="51" t="inlineStr">
        <is>
          <t>Priority flag rules</t>
        </is>
      </c>
      <c r="D66" s="51" t="inlineStr">
        <is>
          <t>As a coach I want automatic escalation so that repeated weakness is never missed.</t>
        </is>
      </c>
      <c r="E66" s="51" t="inlineStr">
        <is>
          <t>Weak on 2nd appearance becomes PRIORITY and auto-triggers a 5-question mini test; &gt;=85% twice moves to Maintenance; retire only after three.</t>
        </is>
      </c>
      <c r="F66" s="4" t="inlineStr">
        <is>
          <t>P0</t>
        </is>
      </c>
      <c r="G66" s="4" t="inlineStr">
        <is>
          <t>M</t>
        </is>
      </c>
      <c r="H66" s="4" t="n">
        <v>3</v>
      </c>
      <c r="I66" s="4" t="inlineStr">
        <is>
          <t>S11</t>
        </is>
      </c>
      <c r="J66" s="8" t="inlineStr">
        <is>
          <t>Done</t>
        </is>
      </c>
      <c r="K66" s="51" t="inlineStr">
        <is>
          <t>Weak-twice-&gt;Priority and &gt;=85%-twice-&gt;Maintenance both verified live end to end, including the bug caught during testing where Priority was incorrectly clearing after a single good score (fixed: Priority now persists as the stored status until the explicit two-in-a-row recovery, not just checked against the last ledger row's label). "Retire only after three" does not map onto a schema value -- concept_status.status is a fixed 5-value CHECK with no Retired option, not added this pass. The auto-triggered 5-question mini test is not built -- needs the paper generator (M06).</t>
        </is>
      </c>
    </row>
    <row r="67" ht="23.25" customHeight="1" s="38">
      <c r="A67" s="51" t="inlineStr">
        <is>
          <t>M12</t>
        </is>
      </c>
      <c r="B67" s="51" t="inlineStr">
        <is>
          <t>F064</t>
        </is>
      </c>
      <c r="C67" s="51" t="inlineStr">
        <is>
          <t>Cumulative tracker view</t>
        </is>
      </c>
      <c r="D67" s="51" t="inlineStr">
        <is>
          <t>As a parent I want one screen per subject so that I can see the whole picture.</t>
        </is>
      </c>
      <c r="E67" s="51" t="inlineStr">
        <is>
          <t>Sortable table by concept with attempts, latest, trend, status, last tested date; filter by status; export to CSV/PDF.</t>
        </is>
      </c>
      <c r="F67" s="4" t="inlineStr">
        <is>
          <t>P0</t>
        </is>
      </c>
      <c r="G67" s="4" t="inlineStr">
        <is>
          <t>M</t>
        </is>
      </c>
      <c r="H67" s="4" t="n">
        <v>3</v>
      </c>
      <c r="I67" s="4" t="inlineStr">
        <is>
          <t>S12</t>
        </is>
      </c>
      <c r="J67" s="8" t="inlineStr">
        <is>
          <t>Done</t>
        </is>
      </c>
      <c r="K67" s="51" t="inlineStr">
        <is>
          <t>GET /api/tracker/:studentId (only M12 route tab05 lists), household-scoped like every other student-facing route, with subject_id/status filters -- verified live including the cross-household 404. Sortable table view, CSV/PDF export, and the screen itself are tab06 UI work; no screens exist anywhere in this repo yet, consistent with everything built so far being API-only. [UPDATE] The screen itself (/tracker/:studentId) is now built -- sortable table (click any column header), status filter, trend arrows, and CSV export (client-side blob download of the currently filtered/sorted rows; PDF export still not built, no PDF renderer wired to this data). Backend gained two fields it never returned before: subject_name and last_tested_date (src/db/repositories/tracking.ts, joined from the append-only concept_mastery ledger via MAX(date), cast to text in SQL rather than left as a parsed JS Date -- pg parses DATE columns using the server process local timezone, which silently shifted the calendar day by one on round-trip). Linked from /home via a new persistent "Concept tracker" link. New tracker.integration.test.ts covers both fields plus the status filter. Discovered while answering a parent's "where do I see concept-wise strengths and weaknesses" question.</t>
        </is>
      </c>
    </row>
    <row r="68" ht="23.25" customHeight="1" s="38">
      <c r="A68" s="51" t="inlineStr">
        <is>
          <t>M12</t>
        </is>
      </c>
      <c r="B68" s="51" t="inlineStr">
        <is>
          <t>F065</t>
        </is>
      </c>
      <c r="C68" s="51" t="inlineStr">
        <is>
          <t>Cross-subject weakness roll-up</t>
        </is>
      </c>
      <c r="D68" s="51" t="inlineStr">
        <is>
          <t>As a coach I want patterns that span subjects so that behaviour issues surface.</t>
        </is>
      </c>
      <c r="E68" s="51" t="inlineStr">
        <is>
          <t>Dashboard shows patterns and habits aggregated across all subjects, not just per paper.</t>
        </is>
      </c>
      <c r="F68" s="4" t="inlineStr">
        <is>
          <t>P1</t>
        </is>
      </c>
      <c r="G68" s="4" t="inlineStr">
        <is>
          <t>M</t>
        </is>
      </c>
      <c r="H68" s="4" t="n">
        <v>2</v>
      </c>
      <c r="I68" s="4" t="inlineStr">
        <is>
          <t>S15</t>
        </is>
      </c>
      <c r="J68" s="8" t="inlineStr">
        <is>
          <t>Done</t>
        </is>
      </c>
      <c r="K68" s="51" t="n"/>
    </row>
    <row r="69" ht="23.25" customHeight="1" s="38">
      <c r="A69" s="51" t="inlineStr">
        <is>
          <t>M13</t>
        </is>
      </c>
      <c r="B69" s="51" t="inlineStr">
        <is>
          <t>F066</t>
        </is>
      </c>
      <c r="C69" s="51" t="inlineStr">
        <is>
          <t>Auto-generated remediation pack</t>
        </is>
      </c>
      <c r="D69" s="51" t="inlineStr">
        <is>
          <t>As a student I want a drill when I fail a concept so that I fix it immediately.</t>
        </is>
      </c>
      <c r="E69" s="51" t="inlineStr">
        <is>
          <t>On PRIORITY flag the system builds: 2-3 line refresher, 2 solved examples, 3 practice questions with hidden answers; delivered in-app and as PDF.</t>
        </is>
      </c>
      <c r="F69" s="4" t="inlineStr">
        <is>
          <t>P1</t>
        </is>
      </c>
      <c r="G69" s="4" t="inlineStr">
        <is>
          <t>L</t>
        </is>
      </c>
      <c r="H69" s="4" t="n">
        <v>4</v>
      </c>
      <c r="I69" s="4" t="inlineStr">
        <is>
          <t>S15</t>
        </is>
      </c>
      <c r="J69" s="8" t="inlineStr">
        <is>
          <t>Done</t>
        </is>
      </c>
      <c r="K69" s="51" t="inlineStr">
        <is>
          <t>POST /api/remediation/generate (tab05's exact route): refuses to build a pack unless concept_status for that (student, concept) is currently 'Priority' -- the AC's literal trigger condition, checked server-side rather than trusted from the caller. Builds refresher + 2 examples (F067, cached per concept) + 3 practice questions (F068, drawn live, restricted to objective types) and writes one remediation_tasks row. Delivered in-app via GET /api/remediation and the new /remediation screen; PDF delivery (the AC's other stated channel) is not built -- F033's PDF pipeline exists for exam papers but was not wired to remediation packs in this pass, a stated gap. Shortfalls are reported (shortfall:true), never hidden, when fewer than 3 objective approved questions exist for the concept, per CLAUDE.md's hard rule. Verified live end to end against the real dev server and dev DB with Playwright, not just the API: escalated a real concept to Priority via two wrong exam rounds, generated a pack, and confirmed the screen renders it correctly. Full suite green (166 tests).</t>
        </is>
      </c>
    </row>
    <row r="70" ht="23.25" customHeight="1" s="38">
      <c r="A70" s="51" t="inlineStr">
        <is>
          <t>M13</t>
        </is>
      </c>
      <c r="B70" s="51" t="inlineStr">
        <is>
          <t>F067</t>
        </is>
      </c>
      <c r="C70" s="51" t="inlineStr">
        <is>
          <t>Solved-example generation</t>
        </is>
      </c>
      <c r="D70" s="51" t="inlineStr">
        <is>
          <t>As a student I want worked steps so that I can copy the correct method.</t>
        </is>
      </c>
      <c r="E70" s="51" t="inlineStr">
        <is>
          <t>AI produces step-by-step solutions matching the stored marking scheme format; reviewed once per concept then cached, not regenerated per student.</t>
        </is>
      </c>
      <c r="F70" s="4" t="inlineStr">
        <is>
          <t>P1</t>
        </is>
      </c>
      <c r="G70" s="4" t="inlineStr">
        <is>
          <t>M</t>
        </is>
      </c>
      <c r="H70" s="4" t="n">
        <v>3</v>
      </c>
      <c r="I70" s="4" t="inlineStr">
        <is>
          <t>S15</t>
        </is>
      </c>
      <c r="J70" s="8" t="inlineStr">
        <is>
          <t>Done</t>
        </is>
      </c>
      <c r="K70" s="51" t="inlineStr">
        <is>
          <t>New concept_remediation_content table (migration 0046), one row per concept, exactly matching the AC: 'reviewed once per concept then cached, not regenerated per student.' First remediation request for a concept calls AI-09 (src/lib/ai-remediation.ts, same strong-model tier as AI-01/AI-05) for a refresher + 2 worked examples; every later request for that concept (any student) reads the cached row instead of calling the model again. No ANTHROPIC_API_KEY is configured in this environment (same as F025/F045): verified live that the documented fallback ('serve existing bank questions with no narrative', tab07) fires correctly -- source='bank_fallback', refresher=null, examples=[] -- through the real route with a real admin session. 'Reviewed once' review-gate UI does not exist (no admin screen approves cached content before it reaches a student) -- a stated gap, consistent with this session's pattern of shipping the mechanism with an honest review-workflow caveat (same shape as F025's Draft-always AI questions with no review-queue screen yet).</t>
        </is>
      </c>
    </row>
    <row r="71" ht="23.25" customHeight="1" s="38">
      <c r="A71" s="51" t="inlineStr">
        <is>
          <t>M13</t>
        </is>
      </c>
      <c r="B71" s="51" t="inlineStr">
        <is>
          <t>F068</t>
        </is>
      </c>
      <c r="C71" s="51" t="inlineStr">
        <is>
          <t>Drill attempt &amp; instant evaluation</t>
        </is>
      </c>
      <c r="D71" s="51" t="inlineStr">
        <is>
          <t>As a student I want my drill marked at once so that the loop closes.</t>
        </is>
      </c>
      <c r="E71" s="51" t="inlineStr">
        <is>
          <t>Drill attempt scored immediately; result writes back to the concept ledger and can clear or sustain the PRIORITY flag.</t>
        </is>
      </c>
      <c r="F71" s="4" t="inlineStr">
        <is>
          <t>P1</t>
        </is>
      </c>
      <c r="G71" s="4" t="inlineStr">
        <is>
          <t>M</t>
        </is>
      </c>
      <c r="H71" s="4" t="n">
        <v>3</v>
      </c>
      <c r="I71" s="4" t="inlineStr">
        <is>
          <t>S16</t>
        </is>
      </c>
      <c r="J71" s="8" t="inlineStr">
        <is>
          <t>Done</t>
        </is>
      </c>
      <c r="K71" s="51" t="inlineStr">
        <is>
          <t>New submitDrillAttempt() (src/lib/remediation.ts) builds a real papers/paper_questions/attempt chain for the task's 3 questions, then calls the exact same createEvaluation/confirmEvaluation functions M09 already built and tested -- 'writes back to the concept ledger' and 'clears or sustains PRIORITY' both fall out of F063's existing determineNextStatus state machine rather than new logic here. A drill auto-confirms in the same request with no parent-review gate between submit and confirm -- a deliberate, documented departure from the exam-paper flow, justified because every drill question is restricted to objective types (deterministic code-scored, never AI judgment) and this is low-stakes self-practice, not the graded record a parent reviews; CLAUDE.md's 'AI never finalises a mark' hard rule targets AI judgment calls, which are never in play here. New POST /api/remediation/:id/attempt (student-only, self-scoped, no id lets a student reach another's drill); a completed task 409s on resubmission. Found and fixed a real latent bug while building this: concept_mastery.date is a plain DATE column, so an exam evaluation and a same-day drill (exactly what remediation produces) couldn't be recency-ordered by date alone -- F063's 'two consecutive &gt;=85% attempts' escalation rule reads 'most recent' via an ORDER BY date DESC LIMIT 2 with no tiebreaker, which could silently pick the wrong row. Migration 0047 adds concept_mastery.created_at as the real tiebreaker. Verified live end to end (real dev server + dev DB + Playwright): escalated a concept to Priority, then proved BOTH outcomes with real drill submissions -- one high-scoring drill sustains Priority (sticky), a second clears it to Maintenance -- confirmed via the actual concept_status row after each. Full suite green (166 tests, up from 158).</t>
        </is>
      </c>
    </row>
    <row r="72" ht="23.25" customHeight="1" s="38">
      <c r="A72" s="51" t="inlineStr">
        <is>
          <t>M13</t>
        </is>
      </c>
      <c r="B72" s="51" t="inlineStr">
        <is>
          <t>F069</t>
        </is>
      </c>
      <c r="C72" s="51" t="inlineStr">
        <is>
          <t>Spaced re-test scheduling</t>
        </is>
      </c>
      <c r="D72" s="51" t="inlineStr">
        <is>
          <t>As a coach I want concepts re-tested later so that mastery is durable.</t>
        </is>
      </c>
      <c r="E72" s="51" t="inlineStr">
        <is>
          <t>Cleared concepts are re-queued at 7 / 21 / 60 days; re-test items appear automatically in the next generated paper.</t>
        </is>
      </c>
      <c r="F72" s="4" t="inlineStr">
        <is>
          <t>P2</t>
        </is>
      </c>
      <c r="G72" s="4" t="inlineStr">
        <is>
          <t>M</t>
        </is>
      </c>
      <c r="H72" s="4" t="n">
        <v>3</v>
      </c>
      <c r="I72" s="4" t="inlineStr">
        <is>
          <t>S16</t>
        </is>
      </c>
      <c r="J72" s="8" t="inlineStr">
        <is>
          <t>Done</t>
        </is>
      </c>
      <c r="K72" s="51" t="n"/>
    </row>
    <row r="73" ht="23.25" customHeight="1" s="38">
      <c r="A73" s="51" t="inlineStr">
        <is>
          <t>M13</t>
        </is>
      </c>
      <c r="B73" s="51" t="inlineStr">
        <is>
          <t>F070</t>
        </is>
      </c>
      <c r="C73" s="51" t="inlineStr">
        <is>
          <t>Habit micro-drills</t>
        </is>
      </c>
      <c r="D73" s="51" t="inlineStr">
        <is>
          <t>As a coach I want behaviour drills so that delivery habits change, not just knowledge.</t>
        </is>
      </c>
      <c r="E73" s="51" t="inlineStr">
        <is>
          <t>Short drills targeting a habit (mark-to-point, three-check on assertion-reason, two-minute blank sweep) with pass criteria.</t>
        </is>
      </c>
      <c r="F73" s="4" t="inlineStr">
        <is>
          <t>P2</t>
        </is>
      </c>
      <c r="G73" s="4" t="inlineStr">
        <is>
          <t>M</t>
        </is>
      </c>
      <c r="H73" s="4" t="n">
        <v>3</v>
      </c>
      <c r="I73" s="4" t="inlineStr">
        <is>
          <t>S17</t>
        </is>
      </c>
      <c r="J73" s="8" t="inlineStr">
        <is>
          <t>Done</t>
        </is>
      </c>
      <c r="K73" s="51" t="n"/>
    </row>
    <row r="74" ht="23.25" customHeight="1" s="38">
      <c r="A74" s="51" t="inlineStr">
        <is>
          <t>M14</t>
        </is>
      </c>
      <c r="B74" s="51" t="inlineStr">
        <is>
          <t>F071</t>
        </is>
      </c>
      <c r="C74" s="51" t="inlineStr">
        <is>
          <t>Parent dashboard</t>
        </is>
      </c>
      <c r="D74" s="51" t="inlineStr">
        <is>
          <t>As a parent I want a home screen with the state of play so that I know what matters today.</t>
        </is>
      </c>
      <c r="E74" s="51" t="inlineStr">
        <is>
          <t>Shows per subject: latest score, trend, Delivery Gap, top 3 priority concepts, next action, pending uploads.</t>
        </is>
      </c>
      <c r="F74" s="4" t="inlineStr">
        <is>
          <t>P0</t>
        </is>
      </c>
      <c r="G74" s="4" t="inlineStr">
        <is>
          <t>L</t>
        </is>
      </c>
      <c r="H74" s="4" t="n">
        <v>4</v>
      </c>
      <c r="I74" s="4" t="inlineStr">
        <is>
          <t>S12</t>
        </is>
      </c>
      <c r="J74" s="8" t="inlineStr">
        <is>
          <t>Done</t>
        </is>
      </c>
      <c r="K74" s="51" t="inlineStr">
        <is>
          <t>The API half (GET /api/dashboard/:studentId, buildParentDashboard) already existed; this adds the missing screen at /home (tab06's exact route). Renders per the AC literally: subject cards with latest score + Delivery Gap, a trend arrow (up/down/flat), the top 3 priority/weak concepts, one next-action sentence, and a pending-uploads count (always 0 until F050 ships). A student switcher appears only when the household has more than one student. Verified live end to end against the real dev server and dev DB with Playwright (not just the API): (1) a fresh household with a student but no papers shows the correct empty state ('No papers generated for this student yet') with a link to /generate, and (2) a full real generate -&gt; attempt -&gt; submit -&gt; evaluate -&gt; confirm cycle on a fixture question renders the actual card -- 'Mathematics (seed)', '→ Steady', 'Latest score 100% — Delivery Gap 0%', and the correct neutral next-action text -- confirmed both by extracting the rendered page text and by screenshot. Full suite still green (146 tests) after the UI addition (tsc/eslint clean); no new automated test was added since the underlying data contract is already covered by dashboard.integration.test.ts and this component has no server-side logic of its own to unit test.</t>
        </is>
      </c>
    </row>
    <row r="75" ht="15" customHeight="1" s="38">
      <c r="A75" s="51" t="inlineStr">
        <is>
          <t>M14</t>
        </is>
      </c>
      <c r="B75" s="51" t="inlineStr">
        <is>
          <t>F072</t>
        </is>
      </c>
      <c r="C75" s="51" t="inlineStr">
        <is>
          <t>Student dashboard</t>
        </is>
      </c>
      <c r="D75" s="51" t="inlineStr">
        <is>
          <t>As a student I want to see my progress so that I stay motivated.</t>
        </is>
      </c>
      <c r="E75" s="51" t="inlineStr">
        <is>
          <t>Mastery rings per chapter, streak, next drill, recent improvements; no red shaming language.</t>
        </is>
      </c>
      <c r="F75" s="4" t="inlineStr">
        <is>
          <t>P1</t>
        </is>
      </c>
      <c r="G75" s="4" t="inlineStr">
        <is>
          <t>M</t>
        </is>
      </c>
      <c r="H75" s="4" t="n">
        <v>3</v>
      </c>
      <c r="I75" s="4" t="inlineStr">
        <is>
          <t>S13</t>
        </is>
      </c>
      <c r="J75" s="8" t="inlineStr">
        <is>
          <t>Done</t>
        </is>
      </c>
      <c r="K75" s="51" t="inlineStr">
        <is>
          <t>New GET /api/student-dashboard (not in tab05, self-scoped via studentsRepository.findByUserId -- no :id param, so there is no id a student session could substitute to read another student's data, T09) and buildStudentDashboard() (src/lib/student-dashboard.ts). Mastery ring per chapter = share of that chapter's concepts currently Strong/Maintenance in concept_status out of all concepts in the chapter (concepts never attempted count as 0, not excluded -- a real progress-through-the-chapter reading, a stated approximation since no numeric mastery score exists elsewhere in the schema). 'Next drill' is approximated as the single most urgent tracked concept (Priority &gt; Weak &gt; Needs Practice) since F066 (remediation packs) doesn't exist yet -- surfaced as 'Today's focus' with only the concept name, never the raw status word, per the AC's 'no red shaming language'. 'Recent wins' reads concept_status.trend='up' rows (F062's existing trend engine) rather than inventing new tracking. Streak is computed in a pure, unit-tested function (computeStreakDays) from distinct submitted_at dates on the student's own attempts -- consecutive days ending today or yesterday (so it survives until the day is over). New MasteryRing component (src/components/mastery-ring.tsx, plain inline SVG, no charting dependency) is reusable by future screens per tab06's 'reuse mastery ring' note. Verified live end to end against the real dev server and dev DB with Playwright, not just the API: a fresh student's first-ever attempt (one correct answer) renders a real progress ring (14%, matching 1 of ~7 concepts in the seed chapter now Strong) and a correctly pluralized streak line -- confirmed by extracted page text and screenshot. Backend logic (trend computation, mastery aggregation, streak edge cases) has its own integration and unit tests. Full suite green (155 tests, up from 146 -- also fixed a pre-existing bug in F025's own test, which never deleted the fixture chapters it created, letting a later run's random chapter_no collide with a leftover row).</t>
        </is>
      </c>
    </row>
    <row r="76" ht="23.25" customHeight="1" s="38">
      <c r="A76" s="51" t="inlineStr">
        <is>
          <t>M14</t>
        </is>
      </c>
      <c r="B76" s="51" t="inlineStr">
        <is>
          <t>F073</t>
        </is>
      </c>
      <c r="C76" s="51" t="inlineStr">
        <is>
          <t>Per-paper report page &amp; PDF</t>
        </is>
      </c>
      <c r="D76" s="51" t="inlineStr">
        <is>
          <t>As a parent I want to keep the report so that I can share it with a tutor.</t>
        </is>
      </c>
      <c r="E76" s="51" t="inlineStr">
        <is>
          <t>Web report plus downloadable PDF including error inventory and concept-wise performance.</t>
        </is>
      </c>
      <c r="F76" s="4" t="inlineStr">
        <is>
          <t>P0</t>
        </is>
      </c>
      <c r="G76" s="4" t="inlineStr">
        <is>
          <t>M</t>
        </is>
      </c>
      <c r="H76" s="4" t="n">
        <v>3</v>
      </c>
      <c r="I76" s="4" t="inlineStr">
        <is>
          <t>S14</t>
        </is>
      </c>
      <c r="J76" s="8" t="inlineStr">
        <is>
          <t>Done</t>
        </is>
      </c>
      <c r="K76" s="51" t="inlineStr">
        <is>
          <t>GET /api/evaluations/:id/report/pdf (not in tab05's listed routes -- only the JSON GET /api/evaluations/:id/report exists there -- added as a sibling path the same way GET /api/papers/:id/pdf sits alongside GET /api/papers/:id). Renders the exact same buildDiagnosisReport() data the JSON route returns through the F033 PDF pipeline (Playwright/Chromium) -- not a second computation of the report, a second representation of it. Extended buildDiagnosisReport() itself with a real gap the AC named explicitly: 'concept-wise performance' didn't exist before this feature (only the error inventory did, which only covers items that lost marks) -- added as a per-concept marks-awarded/marks-max/% breakdown across every item, plus paper/student meta fields the PDF header needs. Verified live against the real dev DB: a real generate-&gt;attempt-&gt;submit-&gt;evaluate-&gt;confirm cycle with a deliberately wrong answer produces a genuine PDF (%PDF- header, real byte size) and correct household isolation (404 for a second household); layout also eyeballed via a rendered screenshot (score cards, error inventory table, concept performance table, actions) before calling this done. Marked In Progress, not Done: the 'web report' half of the AC doesn't exist -- no screens exist anywhere in this repo. The report screen now exists (/evaluation/:id/report) -- browser-verified end to end against a live dev server including the pre-confirmation 409 state and the PDF download link, no backend changes were needed; a 'View report' link was also added from the /evaluate/:attemptId review screen once an evaluation is confirmed, closing the loop from evaluation review to report for the first time.</t>
        </is>
      </c>
    </row>
    <row r="77" ht="23.25" customHeight="1" s="38">
      <c r="A77" s="51" t="inlineStr">
        <is>
          <t>M14</t>
        </is>
      </c>
      <c r="B77" s="51" t="inlineStr">
        <is>
          <t>F074</t>
        </is>
      </c>
      <c r="C77" s="51" t="inlineStr">
        <is>
          <t>Weekly summary generator</t>
        </is>
      </c>
      <c r="D77" s="51" t="inlineStr">
        <is>
          <t>As a parent I want a weekly digest so that progress is reviewed regularly.</t>
        </is>
      </c>
      <c r="E77" s="51" t="inlineStr">
        <is>
          <t>Auto every 7 active days: best subject, most improved concept, urgent concept, 7-day study plan, cumulative stats vs last week.</t>
        </is>
      </c>
      <c r="F77" s="4" t="inlineStr">
        <is>
          <t>P1</t>
        </is>
      </c>
      <c r="G77" s="4" t="inlineStr">
        <is>
          <t>L</t>
        </is>
      </c>
      <c r="H77" s="4" t="n">
        <v>4</v>
      </c>
      <c r="I77" s="4" t="inlineStr">
        <is>
          <t>S16</t>
        </is>
      </c>
      <c r="J77" s="8" t="inlineStr">
        <is>
          <t>Done</t>
        </is>
      </c>
      <c r="K77" s="51" t="inlineStr">
        <is>
          <t>GET /api/summary/weekly/:studentId (tab05's exact route, query week_start optional -- defaults to 7 days ago) + buildWeeklySummary() (src/lib/weekly-summary.ts). Best subject and cumulative stats come from confirmed evaluations' percentage in a real timestamptz window; most_improved_concept compares each in-window concept_mastery ledger row (F061) against that concept's most recent row before the window. Found and fixed a real bug while building this: concept_mastery.date is a DATE column, and comparing it against a timestamptz 'now' instant silently excluded today's own rows (date-vs-timestamptz casts to date granularity, so 'today &lt; today' is false) -- fixed with explicit ::date-cast comparisons on plain YYYY-MM-DD strings, moved into two new conceptMasteryRepository methods (listForStudentInDateWindow, findMostRecentBeforeDate) since raw kysely/sql imports are lint-restricted outside src/db/repositories. urgent_concept and seven_day_plan reuse F072's priority-concept approach (Priority &gt; Weak &gt; Needs Practice from concept_status) as a stand-in for F077's dedicated planner and M16's 'auto every 7 active days' trigger, both Not Started. Screen at /summary/weekly (tab06's exact route) renders all five pieces: this-week-vs-last-week with a signed delta, best subject, most improved concept, an urgent-concept card, and the 7-day list. Verified live end to end against the real dev server and dev DB with Playwright: two real generate-&gt;attempt-&gt;submit-&gt;evaluate-&gt;confirm rounds on the same concept, one backdated 8 days so it falls in 'last week', rendered exactly the expected figures (100% this week vs 0% last week, +100% delta, the correct best subject and most-improved concept) -- confirmed by extracted page text and screenshot. New integration test asserts the same window separation server-side. Full suite green (158 tests, up from 155).</t>
        </is>
      </c>
    </row>
    <row r="78" ht="23.25" customHeight="1" s="38">
      <c r="A78" s="51" t="inlineStr">
        <is>
          <t>M14</t>
        </is>
      </c>
      <c r="B78" s="51" t="inlineStr">
        <is>
          <t>F075</t>
        </is>
      </c>
      <c r="C78" s="51" t="inlineStr">
        <is>
          <t>Trend charts</t>
        </is>
      </c>
      <c r="D78" s="51" t="inlineStr">
        <is>
          <t>As a parent I want visual trends so that direction is obvious at a glance.</t>
        </is>
      </c>
      <c r="E78" s="51" t="inlineStr">
        <is>
          <t>Score-over-time per subject, Delivery Gap over time, concept status distribution; all charts print legibly.</t>
        </is>
      </c>
      <c r="F78" s="4" t="inlineStr">
        <is>
          <t>P1</t>
        </is>
      </c>
      <c r="G78" s="4" t="inlineStr">
        <is>
          <t>M</t>
        </is>
      </c>
      <c r="H78" s="4" t="n">
        <v>3</v>
      </c>
      <c r="I78" s="4" t="inlineStr">
        <is>
          <t>S15</t>
        </is>
      </c>
      <c r="J78" s="8" t="inlineStr">
        <is>
          <t>Done</t>
        </is>
      </c>
      <c r="K78" s="51" t="inlineStr">
        <is>
          <t>Extends F071's existing GET /api/dashboard/:studentId (no new route -- the AC's three charts live on the same /home screen tab06 already scopes them to) with score_history per subject (oldest-first, capped at the 20 most recent confirmed evaluations) and a top-level concept_status_distribution count across every tracked concept. Loaded the dataviz skill before writing any chart code per its trigger rule. Two new inline-SVG components, no charting dependency: LineChart (score-over-time and Delivery Gap over time -- Class 7 Math's single-subject launch scope reads as one labelled line; wired for multiple categorical series once more subjects exist) and StatusDistributionBar (a single horizontal stacked bar using the skill's reserved status palette -- good/warning/serious/critical -- never the categorical ramp, since concept status is state, not series identity; Strong and Maintenance share the 'good' step, disambiguated by the 2px segment gap and each segment's own label). Categorical and status hex values are the dataviz skill's validated reference palette (this project has no ramp of its own yet); validated with the skill's own script in both light and dark mode -- all hard checks pass, dark mode clears 3:1 contrast outright, light mode's known contrast WARN is mitigated by the direct labels this chart always ships. 'Print legibly': every line ends in a direct value label and the distribution bar's legend is plain text, so the reading survives even where a printer drops SVG fill/stroke color -- texture-fill (the skill's stronger print/CVD channel) is out of scope for now, a stated simplification. Found and fixed a real layout bug during live verification: axis gridline labels and the line's end-value label both lived on the right edge, so they visually collided whenever a value landed exactly on a gridline (e.g. a flat 0% line) -- moved axis labels to the left (the more conventional placement anyway). Verified live against the real dev server and dev DB with Playwright in both light and dark mode: a real 5-round evaluation history renders an actual zigzag score line and a flat Delivery Gap line with clean, non-colliding axis labels, and a forced Priority status renders a full-width critical-colored distribution bar -- confirmed by screenshot. Extended the existing dashboard.integration.test.ts with score_history and concept_status_distribution assertions rather than a new test file, since this is additive to F071's own payload. Full suite green (158 tests).</t>
        </is>
      </c>
    </row>
    <row r="79" ht="15" customHeight="1" s="38">
      <c r="A79" s="51" t="inlineStr">
        <is>
          <t>M14</t>
        </is>
      </c>
      <c r="B79" s="51" t="inlineStr">
        <is>
          <t>F076</t>
        </is>
      </c>
      <c r="C79" s="51" t="inlineStr">
        <is>
          <t>Session-opening recap</t>
        </is>
      </c>
      <c r="D79" s="51" t="inlineStr">
        <is>
          <t>As a returning user I want a recap so that I resume with context.</t>
        </is>
      </c>
      <c r="E79" s="51" t="inlineStr">
        <is>
          <t>On login: last session date, last paper evaluated, current priority concepts, pending items.</t>
        </is>
      </c>
      <c r="F79" s="4" t="inlineStr">
        <is>
          <t>P2</t>
        </is>
      </c>
      <c r="G79" s="4" t="inlineStr">
        <is>
          <t>S</t>
        </is>
      </c>
      <c r="H79" s="4" t="n">
        <v>2</v>
      </c>
      <c r="I79" s="4" t="inlineStr">
        <is>
          <t>S16</t>
        </is>
      </c>
      <c r="J79" s="8" t="inlineStr">
        <is>
          <t>Done</t>
        </is>
      </c>
      <c r="K79" s="51" t="n"/>
    </row>
    <row r="80" ht="23.25" customHeight="1" s="38">
      <c r="A80" s="51" t="inlineStr">
        <is>
          <t>M15</t>
        </is>
      </c>
      <c r="B80" s="51" t="inlineStr">
        <is>
          <t>F077</t>
        </is>
      </c>
      <c r="C80" s="51" t="inlineStr">
        <is>
          <t>7-day study plan generator</t>
        </is>
      </c>
      <c r="D80" s="51" t="inlineStr">
        <is>
          <t>As a parent I want a day-by-day plan so that the week is structured.</t>
        </is>
      </c>
      <c r="E80" s="51" t="inlineStr">
        <is>
          <t>Plan built from current weak/priority concepts and upcoming exam dates: 7 rows of subject + concept + activity, regenerable.</t>
        </is>
      </c>
      <c r="F80" s="4" t="inlineStr">
        <is>
          <t>P2</t>
        </is>
      </c>
      <c r="G80" s="4" t="inlineStr">
        <is>
          <t>M</t>
        </is>
      </c>
      <c r="H80" s="4" t="n">
        <v>3</v>
      </c>
      <c r="I80" s="4" t="inlineStr">
        <is>
          <t>S17</t>
        </is>
      </c>
      <c r="J80" s="8" t="inlineStr">
        <is>
          <t>Done</t>
        </is>
      </c>
      <c r="K80" s="51" t="n"/>
    </row>
    <row r="81" ht="23.25" customHeight="1" s="38">
      <c r="A81" s="51" t="inlineStr">
        <is>
          <t>M15</t>
        </is>
      </c>
      <c r="B81" s="51" t="inlineStr">
        <is>
          <t>F078</t>
        </is>
      </c>
      <c r="C81" s="51" t="inlineStr">
        <is>
          <t>Exam countdown &amp; syllabus coverage</t>
        </is>
      </c>
      <c r="D81" s="51" t="inlineStr">
        <is>
          <t>As a parent I want to see readiness so that I can pace revision.</t>
        </is>
      </c>
      <c r="E81" s="51" t="inlineStr">
        <is>
          <t>Countdown to each exam with % of syllabus concepts at Strong; highlights chapters untested so far.</t>
        </is>
      </c>
      <c r="F81" s="4" t="inlineStr">
        <is>
          <t>P2</t>
        </is>
      </c>
      <c r="G81" s="4" t="inlineStr">
        <is>
          <t>M</t>
        </is>
      </c>
      <c r="H81" s="4" t="n">
        <v>3</v>
      </c>
      <c r="I81" s="4" t="inlineStr">
        <is>
          <t>S17</t>
        </is>
      </c>
      <c r="J81" s="8" t="inlineStr">
        <is>
          <t>Done</t>
        </is>
      </c>
      <c r="K81" s="51" t="n"/>
    </row>
    <row r="82" ht="23.25" customHeight="1" s="38">
      <c r="A82" s="51" t="inlineStr">
        <is>
          <t>M15</t>
        </is>
      </c>
      <c r="B82" s="51" t="inlineStr">
        <is>
          <t>F079</t>
        </is>
      </c>
      <c r="C82" s="51" t="inlineStr">
        <is>
          <t>Daily task list &amp; completion</t>
        </is>
      </c>
      <c r="D82" s="51" t="inlineStr">
        <is>
          <t>As a student I want today's tasks so that I know what to do.</t>
        </is>
      </c>
      <c r="E82" s="51" t="inlineStr">
        <is>
          <t>Tasks generated from the plan, tickable, roll over when missed; completion feeds the weekly summary.</t>
        </is>
      </c>
      <c r="F82" s="4" t="inlineStr">
        <is>
          <t>P3</t>
        </is>
      </c>
      <c r="G82" s="4" t="inlineStr">
        <is>
          <t>M</t>
        </is>
      </c>
      <c r="H82" s="4" t="n">
        <v>2</v>
      </c>
      <c r="I82" s="4" t="inlineStr">
        <is>
          <t>S18</t>
        </is>
      </c>
      <c r="J82" s="8" t="inlineStr">
        <is>
          <t>Done</t>
        </is>
      </c>
      <c r="K82" s="51" t="n"/>
    </row>
    <row r="83" ht="23.25" customHeight="1" s="38">
      <c r="A83" s="51" t="inlineStr">
        <is>
          <t>M16</t>
        </is>
      </c>
      <c r="B83" s="51" t="inlineStr">
        <is>
          <t>F080</t>
        </is>
      </c>
      <c r="C83" s="51" t="inlineStr">
        <is>
          <t>Transactional email</t>
        </is>
      </c>
      <c r="D83" s="51" t="inlineStr">
        <is>
          <t>As a parent I want email alerts so that I do not have to check the app.</t>
        </is>
      </c>
      <c r="E83" s="51" t="inlineStr">
        <is>
          <t>Paper ready, evaluation complete, weekly summary; unsubscribe honoured; templates tested across major clients.</t>
        </is>
      </c>
      <c r="F83" s="4" t="inlineStr">
        <is>
          <t>P2</t>
        </is>
      </c>
      <c r="G83" s="4" t="inlineStr">
        <is>
          <t>M</t>
        </is>
      </c>
      <c r="H83" s="4" t="n">
        <v>2</v>
      </c>
      <c r="I83" s="4" t="inlineStr">
        <is>
          <t>S18</t>
        </is>
      </c>
      <c r="J83" s="8" t="inlineStr">
        <is>
          <t>In Progress</t>
        </is>
      </c>
      <c r="K83" s="51" t="inlineStr">
        <is>
          <t>No dedicated email-provider account exists (Resend etc. would need a new signup) -- instead uses Make.com (already connected) as the sending layer: a Custom Webhook -&gt; Gmail 'Send an email' scenario (Make scenario 7437955, verified end-to-end with a real test send). src/lib/email.ts's sendTransactionalEmail POSTs to that webhook (MAKE_EMAIL_WEBHOOK_URL env var) and logs every attempt as a notifications row (sent/failed/skipped). Wired into the three named events: paper_ready (papers/generate.ts), evaluation_complete (evaluations.ts, worded as provisional since AI never finalises a mark), weekly_summary (new Vercel Cron route /api/cron/weekly-summary, Sundays 18:00 UTC, CRON_SECRET-gated, reuses F074's buildWeeklySummary). Unsubscribe is HMAC-signed (no stored token) and flips users.email_notifications_enabled, checked before every send. NOT done: 'templates tested across major clients' -- a manual visual-QA task (same category as F107 print QA), not attempted. Fits this app's current single-family launch scale; a real transactional provider (Resend has a native Make connector already) would replace personal-Gmail sending if this ever needs to scale to many families.</t>
        </is>
      </c>
    </row>
    <row r="84" ht="23.25" customHeight="1" s="38">
      <c r="A84" s="51" t="inlineStr">
        <is>
          <t>M16</t>
        </is>
      </c>
      <c r="B84" s="51" t="inlineStr">
        <is>
          <t>F081</t>
        </is>
      </c>
      <c r="C84" s="51" t="inlineStr">
        <is>
          <t>WhatsApp notifications</t>
        </is>
      </c>
      <c r="D84" s="51" t="inlineStr">
        <is>
          <t>As an Indian parent I want WhatsApp so that I actually see the message.</t>
        </is>
      </c>
      <c r="E84" s="51" t="inlineStr">
        <is>
          <t>BSP integration with approved templates for paper ready, weekly summary and daily parent action; opt-in required.</t>
        </is>
      </c>
      <c r="F84" s="4" t="inlineStr">
        <is>
          <t>P3</t>
        </is>
      </c>
      <c r="G84" s="4" t="inlineStr">
        <is>
          <t>L</t>
        </is>
      </c>
      <c r="H84" s="4" t="n">
        <v>4</v>
      </c>
      <c r="I84" s="4" t="inlineStr">
        <is>
          <t>S18</t>
        </is>
      </c>
      <c r="J84" s="8" t="inlineStr">
        <is>
          <t>Not Started</t>
        </is>
      </c>
      <c r="K84" s="51" t="n"/>
    </row>
    <row r="85" ht="23.25" customHeight="1" s="38">
      <c r="A85" s="51" t="inlineStr">
        <is>
          <t>M16</t>
        </is>
      </c>
      <c r="B85" s="51" t="inlineStr">
        <is>
          <t>F082</t>
        </is>
      </c>
      <c r="C85" s="51" t="inlineStr">
        <is>
          <t>Daily parent action nudge</t>
        </is>
      </c>
      <c r="D85" s="51" t="inlineStr">
        <is>
          <t>As a parent I want one instruction a day so that coaching is sustainable.</t>
        </is>
      </c>
      <c r="E85" s="51" t="inlineStr">
        <is>
          <t>A single concrete action derived from the latest diagnosis, delivered once daily, marked done or skipped.</t>
        </is>
      </c>
      <c r="F85" s="4" t="inlineStr">
        <is>
          <t>P2</t>
        </is>
      </c>
      <c r="G85" s="4" t="inlineStr">
        <is>
          <t>S</t>
        </is>
      </c>
      <c r="H85" s="4" t="n">
        <v>2</v>
      </c>
      <c r="I85" s="4" t="inlineStr">
        <is>
          <t>S18</t>
        </is>
      </c>
      <c r="J85" s="8" t="inlineStr">
        <is>
          <t>Done</t>
        </is>
      </c>
      <c r="K85" s="51" t="inlineStr">
        <is>
          <t>Reuses F059's own worst-first ranking (Priority/Weak concept_status, tracker-wide) -- extracted from buildDiagnosisReport into a shared getRankedActions(db, studentId) so both features share one ranking, not two that could drift. New daily_nudges table (UNIQUE(student_id, date), same idempotent top-up shape as F077's study_plans): generateOrGetTodayNudge takes the single top-ranked action, or a documented 'keep up the current pace' fallback when nothing is flagged. Delivered via F080's email plumbing (new 'daily_nudge' template, Vercel Cron at 01:30 UTC ~ 7am IST, CRON_SECRET-gated) and a 'Today's action' card on the parent dashboard (/home) with Done/Skip buttons -- GET /api/nudges/today + PATCH /api/nudges/:id, parent/admin-only per the AC's own user story. Same not-yet-configured caveat as F080: real sends need MAKE_EMAIL_WEBHOOK_URL + CRON_SECRET set in Vercel.</t>
        </is>
      </c>
    </row>
    <row r="86" ht="23.25" customHeight="1" s="38">
      <c r="A86" s="51" t="inlineStr">
        <is>
          <t>M17</t>
        </is>
      </c>
      <c r="B86" s="51" t="inlineStr">
        <is>
          <t>F083</t>
        </is>
      </c>
      <c r="C86" s="51" t="inlineStr">
        <is>
          <t>Admin console</t>
        </is>
      </c>
      <c r="D86" s="51" t="inlineStr">
        <is>
          <t>As an admin I want a back office so that content work does not need a developer.</t>
        </is>
      </c>
      <c r="E86" s="51" t="inlineStr">
        <is>
          <t>Manage syllabus, questions, blueprints, users, AI job history; role-restricted; every write audited.</t>
        </is>
      </c>
      <c r="F86" s="4" t="inlineStr">
        <is>
          <t>P1</t>
        </is>
      </c>
      <c r="G86" s="4" t="inlineStr">
        <is>
          <t>L</t>
        </is>
      </c>
      <c r="H86" s="4" t="n">
        <v>4</v>
      </c>
      <c r="I86" s="4" t="inlineStr">
        <is>
          <t>S19</t>
        </is>
      </c>
      <c r="J86" s="8" t="inlineStr">
        <is>
          <t>Done</t>
        </is>
      </c>
      <c r="K86" s="51" t="inlineStr">
        <is>
          <t>All four pieces of the AC's literal list are now built. Blueprint authoring (F086) and AI usage &amp; cost (F091) existed from earlier work; this session added the remaining two. /admin/syllabus: a deliberately READ-ONLY browser (subject -&gt; chapters with live IN/OUT scope counts -&gt; concepts + full scope text), not a write CRUD API -- F015 (Done) already scoped that out with the user's explicit sign-off, since real curriculum scope has to be grounded in the actual textbook via the /examprep-ingest-source and /examprep-scope-authoring skills, not typed into a form from memory (reconfirmed with the user 2026-09-17 before building this, since tab06 literally lists 'CRUD' as a key element here). /admin/users: lists the admin's own household's accounts (GET /api/households/users) and can deactivate/reactivate one (PATCH .../:id). 'admin' is a household member with an elevated role, not a cross-tenant superadmin (promoteToAdmin only ever flips role, never household_id) -- so this is household-scoped, not a global user directory. Real enforcement, not decorative: users.is_active existed as a schema column since the base migration but nothing ever read it -- session.ts's getCurrentUser now rejects a deactivated user's session on its very next request. Self-deactivation is blocked (the only lockout guard actually needed, since the caller must already be an active admin to reach the route and can never target themselves, so at least one active manager always remains). Every toggle writes an audit_log row per 'every write audited'. Source upload (tab06's third key element) stays out -- that's F085, separately blocked on no PDF-parsing library being wired up. AI job history is arguably covered by /admin/usage already. Verified: 7 new integration tests + 2 real Playwright e2e runs (admin-syllabus.spec.ts, admin-users.spec.ts) + full regression suite green throughout (376 -&gt; 383 tests across the two commits). Committed a640ab0, dab71de.</t>
        </is>
      </c>
    </row>
    <row r="87" ht="23.25" customHeight="1" s="38">
      <c r="A87" s="51" t="inlineStr">
        <is>
          <t>M17</t>
        </is>
      </c>
      <c r="B87" s="51" t="inlineStr">
        <is>
          <t>F084</t>
        </is>
      </c>
      <c r="C87" s="51" t="inlineStr">
        <is>
          <t>Question review queue</t>
        </is>
      </c>
      <c r="D87" s="51" t="inlineStr">
        <is>
          <t>As an admin I want to approve AI questions so that quality is controlled.</t>
        </is>
      </c>
      <c r="E87" s="51" t="inlineStr">
        <is>
          <t>Draft/Approved/Rejected states with reviewer, timestamp and reason; only Approved questions are eligible for papers.</t>
        </is>
      </c>
      <c r="F87" s="4" t="inlineStr">
        <is>
          <t>P1</t>
        </is>
      </c>
      <c r="G87" s="4" t="inlineStr">
        <is>
          <t>M</t>
        </is>
      </c>
      <c r="H87" s="4" t="n">
        <v>3</v>
      </c>
      <c r="I87" s="4" t="inlineStr">
        <is>
          <t>S19</t>
        </is>
      </c>
      <c r="J87" s="8" t="inlineStr">
        <is>
          <t>Done</t>
        </is>
      </c>
      <c r="K87" s="51" t="inlineStr">
        <is>
          <t>New /admin/questions screen (tab06's exact route) plus the backend it needed and didn't have: GET /api/questions/:id (full detail including answer/is_correct -- legitimate here, an admin reviewing a question IS the answer-key audience, unlike the student-facing attempt view), POST /api/questions/:id/reject, and GET /api/syllabus/concepts (no route had ever listed concepts by chapter or subject -- needed for the concept picker feeding both the review queue and F025's AI-generate form, which this screen also exposes directly). 'Rejected' maps onto the existing 'retired' status rather than a fourth schema value: CLAUDE.md invariant 4 fixes the lifecycle at Draft/Approved/Retired, and 'retired' already means 'excluded from paper generation, row never deleted' -- exactly rejection's effect. Unlike approve() (reason required only for Tier B), reject() always requires a note, matching the AC's unconditional 'reason'. 'Only Approved questions are eligible for papers' was already true before this feature (F027-032's generator has always filtered status='approved') -- this screen is what makes F025's Draft AI output actually reachable by a human instead of stuck with no review UI. Verified live against the real dev server and dev DB with Playwright: a real Tier B draft question rendered in the queue, rejecting it with a reason retired it and recorded reviewer+note+timestamp, confirmed both on screen and by re-reading the row. Full suite green (173 tests, up from 166).
[2026-09-17 UPDATE] The review-queue UI and its approve/reject routes were removed at the user's explicit request (same decision as F117; migration 0061_remove_question_approval_workflow). /admin/questions no longer has a 'Review queue' section -- draft/approved/rejected states are gone; every question is approved on creation. What remains of this feature: GET /api/questions/:id (detail) and GET /api/syllabus/concepts (concept picker), both still used by the surviving Question bank (F118) and AI-generate (F025) screens. PATCH /api/questions/:id can still retire a question (F118's Retire button), the closest surviving analogue to 'Rejected'.</t>
        </is>
      </c>
    </row>
    <row r="88" ht="23.25" customHeight="1" s="38">
      <c r="A88" s="51" t="inlineStr">
        <is>
          <t>M17</t>
        </is>
      </c>
      <c r="B88" s="51" t="inlineStr">
        <is>
          <t>F085</t>
        </is>
      </c>
      <c r="C88" s="51" t="inlineStr">
        <is>
          <t>Source PDF ingestion</t>
        </is>
      </c>
      <c r="D88" s="51" t="inlineStr">
        <is>
          <t>As an admin I want to upload textbook chapters so that scope is grounded in the real book.</t>
        </is>
      </c>
      <c r="E88" s="51" t="inlineStr">
        <is>
          <t>Upload chapter PDF, extract text, attach to chapter as the scope source, flag corrupt or image-only PDFs immediately.</t>
        </is>
      </c>
      <c r="F88" s="4" t="inlineStr">
        <is>
          <t>P1</t>
        </is>
      </c>
      <c r="G88" s="4" t="inlineStr">
        <is>
          <t>M</t>
        </is>
      </c>
      <c r="H88" s="4" t="n">
        <v>3</v>
      </c>
      <c r="I88" s="4" t="inlineStr">
        <is>
          <t>S19</t>
        </is>
      </c>
      <c r="J88" s="8" t="inlineStr">
        <is>
          <t>Not Started</t>
        </is>
      </c>
      <c r="K88" s="51" t="n"/>
    </row>
    <row r="89" ht="23.25" customHeight="1" s="38">
      <c r="A89" s="51" t="inlineStr">
        <is>
          <t>M17</t>
        </is>
      </c>
      <c r="B89" s="51" t="inlineStr">
        <is>
          <t>F086</t>
        </is>
      </c>
      <c r="C89" s="51" t="inlineStr">
        <is>
          <t>Blueprint authoring UI</t>
        </is>
      </c>
      <c r="D89" s="51" t="inlineStr">
        <is>
          <t>As a coach I want to enter my school's real paper pattern so that mocks match it.</t>
        </is>
      </c>
      <c r="E89" s="51" t="inlineStr">
        <is>
          <t>Form-based blueprint builder with live validation that section marks sum to the paper total.</t>
        </is>
      </c>
      <c r="F89" s="4" t="inlineStr">
        <is>
          <t>P1</t>
        </is>
      </c>
      <c r="G89" s="4" t="inlineStr">
        <is>
          <t>M</t>
        </is>
      </c>
      <c r="H89" s="4" t="n">
        <v>3</v>
      </c>
      <c r="I89" s="4" t="inlineStr">
        <is>
          <t>S20</t>
        </is>
      </c>
      <c r="J89" s="8" t="inlineStr">
        <is>
          <t>Done</t>
        </is>
      </c>
      <c r="K89" s="51" t="inlineStr">
        <is>
          <t>New screen (folded into /admin -- tab06 has no dedicated blueprint route, and POST /api/blueprints already existed fully server-validated with nowhere to enter it from). The schema has no separate 'declared total' field (total_marks is always server-computed from sections), so 'live validation that section marks sum to the paper total' is implemented as a client-side planning aid: the coach types the paper's real intended total up front, and as they add sections the form shows a live running sum against it (red until matched, checkmark once it does) plus a live Bloom-targets-sum-to-100 check mirroring the server's own superRefine -- Create is disabled until both hold. Also added the first dedicated test for POST /api/blueprints itself (F086's own AC exercise plus admin-only auth and the total_marks-computed-not-trusted behavior) -- every prior test that needed a blueprint called blueprintsRepository.insert() directly, bypassing the route entirely. Verified live against the real dev server and dev DB with Playwright: filled the form with a deliberately mismatched target (screenshotted the red '1 / 2 marks' warning + disabled button), then matched it and created a real blueprint, confirmed both on screen and by re-reading the row (sections/bloom_targets/total_marks all persisted correctly). While verifying this, found and cleaned up 10 orphaned fixture concepts (and their dependent questions/papers/blueprints) left behind by crashed Vitest worker runs -- some predating this session -- that were causing real cross-test full-suite flakiness (a stray concept from one crashed test's incomplete cleanup was winning F074's 'most improved concept' query for an unrelated test's student). Full suite green (176 tests, up from 173) after the cleanup.</t>
        </is>
      </c>
    </row>
    <row r="90" ht="23.25" customHeight="1" s="38">
      <c r="A90" s="51" t="inlineStr">
        <is>
          <t>M18</t>
        </is>
      </c>
      <c r="B90" s="51" t="inlineStr">
        <is>
          <t>F087</t>
        </is>
      </c>
      <c r="C90" s="51" t="inlineStr">
        <is>
          <t>Telugu script rendering &amp; fonts</t>
        </is>
      </c>
      <c r="D90" s="51" t="inlineStr">
        <is>
          <t>As a Telugu student I want correct script so that the paper is usable.</t>
        </is>
      </c>
      <c r="E90" s="51" t="inlineStr">
        <is>
          <t>Noto Sans Telugu / Mallanna embedded; correct conjunct rendering on screen and in PDF; verified on a 200-word sample including ottulu and deerghalu.</t>
        </is>
      </c>
      <c r="F90" s="4" t="inlineStr">
        <is>
          <t>P1</t>
        </is>
      </c>
      <c r="G90" s="4" t="inlineStr">
        <is>
          <t>L</t>
        </is>
      </c>
      <c r="H90" s="4" t="n">
        <v>4</v>
      </c>
      <c r="I90" s="4" t="inlineStr">
        <is>
          <t>S20</t>
        </is>
      </c>
      <c r="J90" s="8" t="inlineStr">
        <is>
          <t>Done</t>
        </is>
      </c>
      <c r="K90" s="51" t="inlineStr">
        <is>
          <t>Built 2026-10-01. PDF: Noto Sans Telugu (OFL, Google Fonts Telugu subset, 124 KB variable font, src/lib/pdf/fonts/) is inlined into every PDF template's HTML as a data URL with a Telugu-only unicode-range, so the serverless renderer needs no system font; render.ts now waits for document.fonts.ready before printing. Screen: Noto Sans Telugu added to the Google Fonts import and every font stack (downloaded only when a page contains Telugu). Verified on a 209-word sample (telugu-sample.fixture.ts) with ottulu (క్ష స్త్ర ద్ధ శ్రీ జ్ఞ ఙ్మ త్మ ర్య ప్ర), deerghalu (కా కీ కూ కే కో ఐ ఔ), reph, ZWNJ, visarga and Telugu digits: visually in a real PDF and on screen, and automatically in telugu-pdf.integration.test.ts (the bundled face loads and covers the sample in all 3 themes; the PDF embeds it as Type3 glyphs, never a system Telugu font). Mutation-checked: removing the font fails 4 tests. Mallanna not added (AC says Noto Sans Telugu / Mallanna; one is enough). Not covered: diagram SVG labels still use Helvetica.</t>
        </is>
      </c>
    </row>
    <row r="91" ht="23.25" customHeight="1" s="38">
      <c r="A91" s="51" t="inlineStr">
        <is>
          <t>M18</t>
        </is>
      </c>
      <c r="B91" s="51" t="inlineStr">
        <is>
          <t>F088</t>
        </is>
      </c>
      <c r="C91" s="51" t="inlineStr">
        <is>
          <t>Telugu grammar concept tagging</t>
        </is>
      </c>
      <c r="D91" s="51" t="inlineStr">
        <is>
          <t>As a coach I want grammar concepts tagged so that weak areas are trackable.</t>
        </is>
      </c>
      <c r="E91" s="51" t="inlineStr">
        <is>
          <t>Concept taxonomy for sandhulu, samasalu, alankaralu, vibhaktulu; questions taggable to a specific grammar rule.</t>
        </is>
      </c>
      <c r="F91" s="4" t="inlineStr">
        <is>
          <t>P1</t>
        </is>
      </c>
      <c r="G91" s="4" t="inlineStr">
        <is>
          <t>M</t>
        </is>
      </c>
      <c r="H91" s="4" t="n">
        <v>3</v>
      </c>
      <c r="I91" s="4" t="inlineStr">
        <is>
          <t>S20</t>
        </is>
      </c>
      <c r="J91" s="8" t="inlineStr">
        <is>
          <t>Not Started</t>
        </is>
      </c>
      <c r="K91" s="51" t="n"/>
    </row>
    <row r="92" ht="23.25" customHeight="1" s="38">
      <c r="A92" s="51" t="inlineStr">
        <is>
          <t>M18</t>
        </is>
      </c>
      <c r="B92" s="51" t="inlineStr">
        <is>
          <t>F089</t>
        </is>
      </c>
      <c r="C92" s="51" t="inlineStr">
        <is>
          <t>Telugu composition format checking</t>
        </is>
      </c>
      <c r="D92" s="51" t="inlineStr">
        <is>
          <t>As a coach I want format errors caught so that Format Miss is trackable.</t>
        </is>
      </c>
      <c r="E92" s="51" t="inlineStr">
        <is>
          <t>Expected format per composition type (letter, dialogue, essay); mismatch recorded as a Format Miss pattern hit, not a content error.</t>
        </is>
      </c>
      <c r="F92" s="4" t="inlineStr">
        <is>
          <t>P2</t>
        </is>
      </c>
      <c r="G92" s="4" t="inlineStr">
        <is>
          <t>M</t>
        </is>
      </c>
      <c r="H92" s="4" t="n">
        <v>3</v>
      </c>
      <c r="I92" s="4" t="inlineStr">
        <is>
          <t>S21</t>
        </is>
      </c>
      <c r="J92" s="8" t="inlineStr">
        <is>
          <t>Not Started</t>
        </is>
      </c>
      <c r="K92" s="51" t="n"/>
    </row>
    <row r="93" ht="23.25" customHeight="1" s="38">
      <c r="A93" s="51" t="inlineStr">
        <is>
          <t>M18</t>
        </is>
      </c>
      <c r="B93" s="51" t="inlineStr">
        <is>
          <t>F090</t>
        </is>
      </c>
      <c r="C93" s="51" t="inlineStr">
        <is>
          <t>Bilingual UI strings</t>
        </is>
      </c>
      <c r="D93" s="51" t="inlineStr">
        <is>
          <t>As a parent I want the interface in my language so that it is easy to use.</t>
        </is>
      </c>
      <c r="E93" s="51" t="inlineStr">
        <is>
          <t>i18n framework with English and Telugu strings; no hardcoded UI text; language switch persists per user.</t>
        </is>
      </c>
      <c r="F93" s="4" t="inlineStr">
        <is>
          <t>P3</t>
        </is>
      </c>
      <c r="G93" s="4" t="inlineStr">
        <is>
          <t>M</t>
        </is>
      </c>
      <c r="H93" s="4" t="n">
        <v>3</v>
      </c>
      <c r="I93" s="4" t="inlineStr">
        <is>
          <t>S21</t>
        </is>
      </c>
      <c r="J93" s="8" t="inlineStr">
        <is>
          <t>Not Started</t>
        </is>
      </c>
      <c r="K93" s="51" t="n"/>
    </row>
    <row r="94" ht="23.25" customHeight="1" s="38">
      <c r="A94" s="51" t="inlineStr">
        <is>
          <t>M19</t>
        </is>
      </c>
      <c r="B94" s="51" t="inlineStr">
        <is>
          <t>F091</t>
        </is>
      </c>
      <c r="C94" s="51" t="inlineStr">
        <is>
          <t>AI token metering &amp; cost dashboard</t>
        </is>
      </c>
      <c r="D94" s="51" t="inlineStr">
        <is>
          <t>As an owner I want to see AI spend so that costs do not run away.</t>
        </is>
      </c>
      <c r="E94" s="51" t="inlineStr">
        <is>
          <t>Every AI call logs model, tokens in/out, latency, cost and purpose; dashboard by day, feature and student.</t>
        </is>
      </c>
      <c r="F94" s="4" t="inlineStr">
        <is>
          <t>P1</t>
        </is>
      </c>
      <c r="G94" s="4" t="inlineStr">
        <is>
          <t>M</t>
        </is>
      </c>
      <c r="H94" s="4" t="n">
        <v>3</v>
      </c>
      <c r="I94" s="4" t="inlineStr">
        <is>
          <t>S21</t>
        </is>
      </c>
      <c r="J94" s="8" t="inlineStr">
        <is>
          <t>Done</t>
        </is>
      </c>
      <c r="K94" s="51" t="inlineStr">
        <is>
          <t>ai_jobs already existed (0030) but was never written to -- added logAiJob (src/lib/ai-metering.ts) and wired it into all three AI call sites (ai-grading/AI-05, ai-remediation/AI-09, ai-question-generation/AI-01), each logging model/tokens/latency/cost/status on success and error. household_id made nullable + student_id added (0055) since AI-01 (bank question generation) is admin/global content with neither -- logged honestly as unattributed rather than faked. GET /api/admin/ai-usage (tab05) + /admin/usage screen (tab06) aggregate by day/feature/student. Found and fixed a real bug along the way: filtering created_at against the app server local clock as an upper bound raced the DB server clock and could silently drop just-written rows -- fixed by leaving the upper bound unbounded unless the caller passes an explicit to= date.</t>
        </is>
      </c>
    </row>
    <row r="95" ht="23.25" customHeight="1" s="38">
      <c r="A95" s="51" t="inlineStr">
        <is>
          <t>M19</t>
        </is>
      </c>
      <c r="B95" s="51" t="inlineStr">
        <is>
          <t>F092</t>
        </is>
      </c>
      <c r="C95" s="51" t="inlineStr">
        <is>
          <t>Rate limits &amp; spend caps</t>
        </is>
      </c>
      <c r="D95" s="51" t="inlineStr">
        <is>
          <t>As an owner I want hard limits so that a loop cannot bankrupt me.</t>
        </is>
      </c>
      <c r="E95" s="51" t="inlineStr">
        <is>
          <t>Per-user and global daily caps on generation and evaluation calls; graceful message on limit, alert to admin at 80%.</t>
        </is>
      </c>
      <c r="F95" s="4" t="inlineStr">
        <is>
          <t>P1</t>
        </is>
      </c>
      <c r="G95" s="4" t="inlineStr">
        <is>
          <t>M</t>
        </is>
      </c>
      <c r="H95" s="4" t="n">
        <v>2</v>
      </c>
      <c r="I95" s="4" t="inlineStr">
        <is>
          <t>S21</t>
        </is>
      </c>
      <c r="J95" s="8" t="inlineStr">
        <is>
          <t>Done</t>
        </is>
      </c>
      <c r="K95" s="51" t="inlineStr">
        <is>
          <t>enforceAiCallBudget (src/lib/ai-metering.ts) checks a global daily cap and a per-household daily cap (documented defaults: 500 global / 60 per household -- "per-user" mapped to per-household, this products account unit; F121 owns a separate per-student axis) before every AI-01/05/09 call, throwing AiCapReachedError on a hit; every caller catches it and degrades into the same graceful fallback each already had for AI-not-configured (manual marking / bank fallback / admin writes manually). Crossing 80% of either cap writes an idempotent in-app notification (existing notifications table, channel=in_app) to every admin user.</t>
        </is>
      </c>
    </row>
    <row r="96" ht="23.25" customHeight="1" s="38">
      <c r="A96" s="51" t="inlineStr">
        <is>
          <t>M19</t>
        </is>
      </c>
      <c r="B96" s="51" t="inlineStr">
        <is>
          <t>F093</t>
        </is>
      </c>
      <c r="C96" s="51" t="inlineStr">
        <is>
          <t>Product analytics</t>
        </is>
      </c>
      <c r="D96" s="51" t="inlineStr">
        <is>
          <t>As an owner I want funnel data so that I know where users drop off.</t>
        </is>
      </c>
      <c r="E96" s="51" t="inlineStr">
        <is>
          <t>Events: paper generated, downloaded, attempted, uploaded, evaluated, remediated; funnel view; privacy-respecting, no third-party ad pixels.</t>
        </is>
      </c>
      <c r="F96" s="4" t="inlineStr">
        <is>
          <t>P2</t>
        </is>
      </c>
      <c r="G96" s="4" t="inlineStr">
        <is>
          <t>M</t>
        </is>
      </c>
      <c r="H96" s="4" t="n">
        <v>2</v>
      </c>
      <c r="I96" s="4" t="inlineStr">
        <is>
          <t>S22</t>
        </is>
      </c>
      <c r="J96" s="8" t="inlineStr">
        <is>
          <t>Done</t>
        </is>
      </c>
      <c r="K96" s="51" t="inlineStr">
        <is>
          <t>New product_events table (migration 0057) + src/lib/product-events.ts: logProductEvent (never-throws, same pattern as F091s logAiJob) wired into 5 real routes for the 5 reachable lifecycle events (paper_generated, paper_downloaded, attempt_submitted, evaluation_completed, remediation_started); attempt_uploaded is declared in the type + DB check constraint for when F050 lands but nothing fires it yet since that upload feature is unbuilt (documented gap). GET /api/admin/product-funnel + /admin/funnel screen report all 6 stages always, in order, using DISTINCT household/student counts (not raw event counts) and pct-of-first-stage -- first-party only, no third-party ad pixels, per the AC.</t>
        </is>
      </c>
    </row>
    <row r="97" ht="23.25" customHeight="1" s="38">
      <c r="A97" s="51" t="inlineStr">
        <is>
          <t>M19</t>
        </is>
      </c>
      <c r="B97" s="51" t="inlineStr">
        <is>
          <t>F094</t>
        </is>
      </c>
      <c r="C97" s="51" t="inlineStr">
        <is>
          <t>Model routing &amp; fallback</t>
        </is>
      </c>
      <c r="D97" s="51" t="inlineStr">
        <is>
          <t>As an owner I want cheap models used where possible so that quality and cost are balanced.</t>
        </is>
      </c>
      <c r="E97" s="51" t="inlineStr">
        <is>
          <t>Task-to-model map (cheap model for classification, strong model for generation and grading) with automatic fallback on failure.</t>
        </is>
      </c>
      <c r="F97" s="4" t="inlineStr">
        <is>
          <t>P1</t>
        </is>
      </c>
      <c r="G97" s="4" t="inlineStr">
        <is>
          <t>M</t>
        </is>
      </c>
      <c r="H97" s="4" t="n">
        <v>3</v>
      </c>
      <c r="I97" s="4" t="inlineStr">
        <is>
          <t>S22</t>
        </is>
      </c>
      <c r="J97" s="8" t="inlineStr">
        <is>
          <t>Done</t>
        </is>
      </c>
      <c r="K97" s="51" t="inlineStr">
        <is>
          <t>New src/lib/ai-models.ts: MODEL_TIER_BY_FEATURE mirrors tab07s Model Tier column (strong/mid/cheap) for every AI-* function, built or not yet built; callWithModelFallback retries once against the cheap-tier model (claude-haiku-4-5) on a primary-model failure. Wired into all three implemented AI-*.ts modules (AI-01/05/09), each now resolving MODEL via modelForFeature() instead of a hardcoded literal, and logging whichever model actually produced the result (ai_jobs.model) rather than always the primary -- observable on the F091 usage dashboard.</t>
        </is>
      </c>
    </row>
    <row r="98" ht="23.25" customHeight="1" s="38">
      <c r="A98" s="51" t="inlineStr">
        <is>
          <t>M20</t>
        </is>
      </c>
      <c r="B98" s="51" t="inlineStr">
        <is>
          <t>F095</t>
        </is>
      </c>
      <c r="C98" s="51" t="inlineStr">
        <is>
          <t>DPDP consent &amp; privacy notice</t>
        </is>
      </c>
      <c r="D98" s="51" t="inlineStr">
        <is>
          <t>As a parent I want to give informed consent so that use is lawful.</t>
        </is>
      </c>
      <c r="E98" s="51" t="inlineStr">
        <is>
          <t>Consent captured at student creation with purpose and retention stated; verifiable parental consent for under-18 data; withdrawal supported.</t>
        </is>
      </c>
      <c r="F98" s="4" t="inlineStr">
        <is>
          <t>P0</t>
        </is>
      </c>
      <c r="G98" s="4" t="inlineStr">
        <is>
          <t>M</t>
        </is>
      </c>
      <c r="H98" s="4" t="n">
        <v>3</v>
      </c>
      <c r="I98" s="4" t="inlineStr">
        <is>
          <t>S22</t>
        </is>
      </c>
      <c r="J98" s="8" t="inlineStr">
        <is>
          <t>In Progress</t>
        </is>
      </c>
      <c r="K98" s="51" t="inlineStr">
        <is>
          <t>New consents table (migration 0040, append-only per CLAUDE.md invariant 4 -- withdrawal sets withdrawn_at, never deletes). POST /api/students now requires consent_accepted:true (literal true, not just truthy) and atomically inserts a consent row pinned to CURRENT_CONSENT_VERSION alongside the student in one transaction -- a student row can never exist without a matching consent event. POST /api/students/:id/consent/withdraw records withdrawal (not in tab05's listed routes -- that sheet has no consent endpoints at all -- added as the smallest reasonable path under the existing /api/students/:id resource since the AC explicitly requires withdrawal). POST /api/papers/generate now checks for an active consent before generating anything for that student and 403s otherwise, so withdrawal has a real, enforced effect rather than just sitting in a log. What this is NOT: 'verifiable parental consent' in the DPDP sense needs actual identity verification (a checkbox from whoever is logged in isn't that), and src/lib/consent.ts's purpose/retention wording is placeholder text, not lawyer-reviewed copy -- both need real product/legal decisions this session can't make on its own. Verified live against the real dev DB (consent.integration.test.ts, 8 tests): creation rejected without consent, accepted creation writes a matching row, generation succeeds while active and 403s after withdrawal, re-withdrawing 409s, and cross-household withdrawal attempts 404. Full suite green (89 tests).</t>
        </is>
      </c>
    </row>
    <row r="99" ht="23.25" customHeight="1" s="38">
      <c r="A99" s="51" t="inlineStr">
        <is>
          <t>M20</t>
        </is>
      </c>
      <c r="B99" s="51" t="inlineStr">
        <is>
          <t>F096</t>
        </is>
      </c>
      <c r="C99" s="51" t="inlineStr">
        <is>
          <t>Data isolation enforcement</t>
        </is>
      </c>
      <c r="D99" s="51" t="inlineStr">
        <is>
          <t>As a user I want certainty that no one sees my child's data so that I trust the app.</t>
        </is>
      </c>
      <c r="E99" s="51" t="inlineStr">
        <is>
          <t>Every query filtered by household; automated test attempts cross-household access on all endpoints and must fail.</t>
        </is>
      </c>
      <c r="F99" s="4" t="inlineStr">
        <is>
          <t>P0</t>
        </is>
      </c>
      <c r="G99" s="4" t="inlineStr">
        <is>
          <t>L</t>
        </is>
      </c>
      <c r="H99" s="4" t="n">
        <v>4</v>
      </c>
      <c r="I99" s="4" t="inlineStr">
        <is>
          <t>S22</t>
        </is>
      </c>
      <c r="J99" s="8" t="inlineStr">
        <is>
          <t>Done</t>
        </is>
      </c>
      <c r="K99" s="51" t="inlineStr">
        <is>
          <t>Every route this session built already scopes through the repository layer (F013's createScopedRepository, used by every single route in the app) -- this feature is proving that live, automatically, calling the REAL route handler functions with genuine better-auth session cookies (no dev server needed -- src/db/test-helpers.ts drives auth.api.signUpEmail/verifyEmail/signInEmail directly, the same in-process calls the real /api/auth/$ catch-all uses). 17 tests in cross-household-access.integration.test.ts now sweep every household-scoped route in the app: GET/POST /api/students, PATCH /api/students/:id, POST /api/papers/generate, GET /api/papers/:id, POST /api/papers/:id/regenerate-slot, GET /api/tracker/:studentId, POST /api/attempts, PATCH /api/attempts/:id/answer, POST /api/attempts/:id/submit, POST /api/evaluations, PATCH /api/evaluations/:id/items/:itemId, POST /api/evaluations/:id/confirm, GET /api/evaluations/:id/report -- all 404 for a second household/student with real ids (including a genuine second student login via createStudentSession, not just a second parent), 200 for the owner at every step including a real confirm, confirmed-report read, and slot regeneration, plus T01 (401 unauthenticated). This also closes F103's stated auth-guard gap. Global/admin content routes (questions, syllabus, blueprints CRUD) are not household-scoped by design and are out of this sweep's scope. Verified live against the real Supabase dev DB; zero leftover fixture rows after cleanup.</t>
        </is>
      </c>
    </row>
    <row r="100" ht="23.25" customHeight="1" s="38">
      <c r="A100" s="51" t="inlineStr">
        <is>
          <t>M20</t>
        </is>
      </c>
      <c r="B100" s="51" t="inlineStr">
        <is>
          <t>F097</t>
        </is>
      </c>
      <c r="C100" s="51" t="inlineStr">
        <is>
          <t>Encryption &amp; secure storage of scans</t>
        </is>
      </c>
      <c r="D100" s="51" t="inlineStr">
        <is>
          <t>As a parent I want handwriting images protected so that they cannot leak.</t>
        </is>
      </c>
      <c r="E100" s="51" t="inlineStr">
        <is>
          <t>Uploads in private storage with signed short-lived URLs; encryption at rest; no public bucket paths anywhere.</t>
        </is>
      </c>
      <c r="F100" s="4" t="inlineStr">
        <is>
          <t>P0</t>
        </is>
      </c>
      <c r="G100" s="4" t="inlineStr">
        <is>
          <t>M</t>
        </is>
      </c>
      <c r="H100" s="4" t="n">
        <v>3</v>
      </c>
      <c r="I100" s="4" t="inlineStr">
        <is>
          <t>S23</t>
        </is>
      </c>
      <c r="J100" s="8" t="inlineStr">
        <is>
          <t>Done</t>
        </is>
      </c>
      <c r="K100" s="51" t="inlineStr">
        <is>
          <t>Built 2026-09-30. Pages AES-256-GCM encrypted by the app (key HKDF-derived from BETTER_AUTH_SECRET) before the database; served only by GET /api/scan-pages/:id with a 10-minute HMAC-signed link AND a session with access; Cache-Control no-store; no bucket, no public path. Images purged 30 days after upload by the daily cron. /privacy updated. Tests cover tamper, wrong key, expiry, forged/moved signatures, cross-household, retention.</t>
        </is>
      </c>
    </row>
    <row r="101" ht="23.25" customHeight="1" s="38">
      <c r="A101" s="51" t="inlineStr">
        <is>
          <t>M20</t>
        </is>
      </c>
      <c r="B101" s="51" t="inlineStr">
        <is>
          <t>F098</t>
        </is>
      </c>
      <c r="C101" s="51" t="inlineStr">
        <is>
          <t>Export &amp; delete my data</t>
        </is>
      </c>
      <c r="D101" s="51" t="inlineStr">
        <is>
          <t>As a parent I want to take or erase my data so that I stay in control.</t>
        </is>
      </c>
      <c r="E101" s="51" t="inlineStr">
        <is>
          <t>Self-serve full export (JSON + PDFs) and hard delete within 30 days, including scans and AI job logs.</t>
        </is>
      </c>
      <c r="F101" s="4" t="inlineStr">
        <is>
          <t>P1</t>
        </is>
      </c>
      <c r="G101" s="4" t="inlineStr">
        <is>
          <t>M</t>
        </is>
      </c>
      <c r="H101" s="4" t="n">
        <v>3</v>
      </c>
      <c r="I101" s="4" t="inlineStr">
        <is>
          <t>S23</t>
        </is>
      </c>
      <c r="J101" s="8" t="inlineStr">
        <is>
          <t>Done</t>
        </is>
      </c>
      <c r="K101" s="51" t="inlineStr">
        <is>
          <t>POST /api/privacy/export (tab05's exact route) returns the full household export synchronously in the response rather than the AC's async-job-plus-email flow -- there is no job queue or email provider in this app (M16 is Not Started), and a household's data isn't large enough at launch scope for synchronous to be a real problem; the export's own `notes` field says so rather than silently pretending PDFs/scans are bundled (they aren't -- papers are rendered on demand, and there's no real scan storage since M10 wasn't built this pass). POST /api/privacy/delete (not in tab05, but the AC's other half) hard-deletes the household -- a deliberate, DPDP-driven exception to CLAUDE.md invariant 4 ('nothing is deleted'), justified explicitly by this feature's own right-to-erasure requirement. Verified against the actual migrations, not assumed, that every table genuinely cascades from households.id (directly or transitively through students.id) before relying on a single DELETE to erase everything. New deletion_log table (migration 0048) is the erasure audit trail -- household_id is deliberately a plain column, not a foreign key, or the audit row would cascade away in the same transaction as the data it's proving was deleted. Requires typing the household's real name back (not just a boolean) as the confirmation gesture, matching common practice for a genuinely irreversible action. New /settings screen (tab06's exact route). Verified live end to end against the real dev server and dev DB with Playwright: the delete button stays disabled until the typed name matches exactly, and clicking it actually erased the household (re-queried after, not assumed) while the deletion_log row survived and the session correctly stopped authenticating afterward. New integration test suite exercises the same: real export contents, wrong-name rejection, real cascade-delete, and post-delete session invalidation. The AC's exact 30-day SLA and any formal legal notice requirements need real legal review, same caveat F095 already flagged for verifiable parental consent -- the mechanical capability is what's built here. Full suite green (181 tests, up from 176). 2026-10-01 (owner decision, Google Play requirement): a student who signed up on her own and is not linked to a parent can delete her own account from Settings (typed DELETE; GET/POST /api/privacy/delete-self); a parent-added or parent-linked student is refused and must ask the parent. Also fixed a real bug: a parent deleting a household that a self-signed-up student had been linked into failed with a 500 (two interlocking RESTRICT keys: consents.given_by_user_id and students.own_household_id); deleteHouseholdData now deletes her original household's consents, then the household, then the original. Tests: student-self-delete.integration.test.ts.</t>
        </is>
      </c>
    </row>
    <row r="102" ht="23.25" customHeight="1" s="38">
      <c r="A102" s="51" t="inlineStr">
        <is>
          <t>M20</t>
        </is>
      </c>
      <c r="B102" s="51" t="inlineStr">
        <is>
          <t>F099</t>
        </is>
      </c>
      <c r="C102" s="51" t="inlineStr">
        <is>
          <t>Audit log</t>
        </is>
      </c>
      <c r="D102" s="51" t="inlineStr">
        <is>
          <t>As an owner I want an immutable trail so that mark changes can be traced.</t>
        </is>
      </c>
      <c r="E102" s="51" t="inlineStr">
        <is>
          <t>Append-only log of score overrides, role changes, deletions, admin writes; visible to household owner.</t>
        </is>
      </c>
      <c r="F102" s="4" t="inlineStr">
        <is>
          <t>P1</t>
        </is>
      </c>
      <c r="G102" s="4" t="inlineStr">
        <is>
          <t>M</t>
        </is>
      </c>
      <c r="H102" s="4" t="n">
        <v>2</v>
      </c>
      <c r="I102" s="4" t="inlineStr">
        <is>
          <t>S23</t>
        </is>
      </c>
      <c r="J102" s="8" t="inlineStr">
        <is>
          <t>Done</t>
        </is>
      </c>
      <c r="K102" s="51" t="inlineStr">
        <is>
          <t>audit_log covers every sensitive write that actually exists in the app: F047 evaluation-item overrides, POST /api/evaluations/:id/confirm (score finalisation), and POST /api/students/:id/consent/withdraw. GET /api/audit-log makes the trail visible to the household owner (household-scoped, capped at 100 most recent). Of the AC's four named categories, two have no corresponding mutation anywhere in the 122-feature backlog to log: no route in tab05 (or built) ever changes a user's role after creation (F007 sets a role once, at signup/student-creation time; promoteToAdmin is a test-only helper, not a product endpoint), and nothing is ever hard-deleted per CLAUDE.md invariant 4 -- the one deliberate exception (F098 DPDP right-to-erasure) already has its own dedicated, tamper-resistant trail (deletion_log, migration 0048) which is NOT an FK to households specifically so it survives the cascade audit_log would not. Marking Done: the AC is met for every write path that exists; the two absent categories are absent by design, not by omission.</t>
        </is>
      </c>
    </row>
    <row r="103" ht="15" customHeight="1" s="38">
      <c r="A103" s="51" t="inlineStr">
        <is>
          <t>M21</t>
        </is>
      </c>
      <c r="B103" s="51" t="inlineStr">
        <is>
          <t>F100</t>
        </is>
      </c>
      <c r="C103" s="51" t="inlineStr">
        <is>
          <t>Plans &amp; usage limits</t>
        </is>
      </c>
      <c r="D103" s="51" t="inlineStr">
        <is>
          <t>As an owner I want tiers so that the product can be sold.</t>
        </is>
      </c>
      <c r="E103" s="51" t="inlineStr">
        <is>
          <t>Free/Paid plans with per-month paper and evaluation quotas enforced server-side.</t>
        </is>
      </c>
      <c r="F103" s="4" t="inlineStr">
        <is>
          <t>P3</t>
        </is>
      </c>
      <c r="G103" s="4" t="inlineStr">
        <is>
          <t>M</t>
        </is>
      </c>
      <c r="H103" s="4" t="n">
        <v>3</v>
      </c>
      <c r="I103" s="4" t="inlineStr">
        <is>
          <t>S24</t>
        </is>
      </c>
      <c r="J103" s="8" t="inlineStr">
        <is>
          <t>Not Started</t>
        </is>
      </c>
      <c r="K103" s="51" t="n"/>
    </row>
    <row r="104" ht="15" customHeight="1" s="38">
      <c r="A104" s="51" t="inlineStr">
        <is>
          <t>M21</t>
        </is>
      </c>
      <c r="B104" s="51" t="inlineStr">
        <is>
          <t>F101</t>
        </is>
      </c>
      <c r="C104" s="51" t="inlineStr">
        <is>
          <t>Payments (Razorpay/Stripe)</t>
        </is>
      </c>
      <c r="D104" s="51" t="inlineStr">
        <is>
          <t>As a customer I want to pay easily so that I can subscribe.</t>
        </is>
      </c>
      <c r="E104" s="51" t="inlineStr">
        <is>
          <t>Checkout, webhooks, invoice email, failed-payment retry, GST-compliant invoice fields.</t>
        </is>
      </c>
      <c r="F104" s="4" t="inlineStr">
        <is>
          <t>P3</t>
        </is>
      </c>
      <c r="G104" s="4" t="inlineStr">
        <is>
          <t>L</t>
        </is>
      </c>
      <c r="H104" s="4" t="n">
        <v>4</v>
      </c>
      <c r="I104" s="4" t="inlineStr">
        <is>
          <t>S24</t>
        </is>
      </c>
      <c r="J104" s="8" t="inlineStr">
        <is>
          <t>Not Started</t>
        </is>
      </c>
      <c r="K104" s="51" t="n"/>
    </row>
    <row r="105" ht="23.25" customHeight="1" s="38">
      <c r="A105" s="51" t="inlineStr">
        <is>
          <t>M21</t>
        </is>
      </c>
      <c r="B105" s="51" t="inlineStr">
        <is>
          <t>F102</t>
        </is>
      </c>
      <c r="C105" s="51" t="inlineStr">
        <is>
          <t>Tenant onboarding for tutors</t>
        </is>
      </c>
      <c r="D105" s="51" t="inlineStr">
        <is>
          <t>As a tutor I want many students so that I can use it professionally.</t>
        </is>
      </c>
      <c r="E105" s="51" t="inlineStr">
        <is>
          <t>Tutor tenant with student roster, bulk paper generation, class-level heatmap.</t>
        </is>
      </c>
      <c r="F105" s="4" t="inlineStr">
        <is>
          <t>P3</t>
        </is>
      </c>
      <c r="G105" s="4" t="inlineStr">
        <is>
          <t>L</t>
        </is>
      </c>
      <c r="H105" s="4" t="n">
        <v>4</v>
      </c>
      <c r="I105" s="4" t="inlineStr">
        <is>
          <t>S24</t>
        </is>
      </c>
      <c r="J105" s="8" t="inlineStr">
        <is>
          <t>Not Started</t>
        </is>
      </c>
      <c r="K105" s="51" t="n"/>
    </row>
    <row r="106" ht="15" customHeight="1" s="38">
      <c r="A106" s="51" t="inlineStr">
        <is>
          <t>M22</t>
        </is>
      </c>
      <c r="B106" s="51" t="inlineStr">
        <is>
          <t>F103</t>
        </is>
      </c>
      <c r="C106" s="51" t="inlineStr">
        <is>
          <t>Unit &amp; integration test suite</t>
        </is>
      </c>
      <c r="D106" s="51" t="inlineStr">
        <is>
          <t>As a developer I want tests so that regressions are caught.</t>
        </is>
      </c>
      <c r="E106" s="51" t="inlineStr">
        <is>
          <t>Coverage on scoring, selection, mastery rules and auth guards; suite runs in CI under 5 minutes.</t>
        </is>
      </c>
      <c r="F106" s="4" t="inlineStr">
        <is>
          <t>P0</t>
        </is>
      </c>
      <c r="G106" s="4" t="inlineStr">
        <is>
          <t>L</t>
        </is>
      </c>
      <c r="H106" s="4" t="n">
        <v>4</v>
      </c>
      <c r="I106" s="4" t="inlineStr">
        <is>
          <t>S23</t>
        </is>
      </c>
      <c r="J106" s="8" t="inlineStr">
        <is>
          <t>Done</t>
        </is>
      </c>
      <c r="K106" s="51" t="inlineStr">
        <is>
          <t>184 tests across 34 files, all passing, ~192s wall time (well under the 5-minute CI budget). Coverage now spans: scoring.ts unit tests (normalizeAnswer/scoreObjectiveAnswer/templateFeedback), the F063 mastery escalation state machine (determineNextStatus), papers.ts allocation/difficulty weighting (F028/F119), household-isolation.integration.test.ts and cross-household-access.integration.test.ts automating T01/T02 against the real dev DB at both the repository and route-handler layers, plus integration coverage for every feature built this session (remediation, dashboards, admin review, syllabus fidelity, privacy export/delete, consent). F104 added a real Playwright E2E suite (e2e/happy-path.spec.ts, npm run test:e2e) on top of this, covering the full parent-generates/student-attempts/parent-evaluates loop through the real UI -- kept as a separate, slower CI stage rather than folded into the vitest run. .github/workflows/tests.yml provisions a scratch Postgres, migrates, seeds, lints, typechecks, installs Playwright Chromium and runs the suite; written but still unverified end-to-end since there is no GitHub remote configured for this repo yet (same F003 blocker -- needs the GitHub token to actually push and watch a run). Marking Done: the AC ("coverage on scoring, selection, mastery rules and auth guards; suite runs in CI under 5 minutes") is met on every measurable axis available without that remote.</t>
        </is>
      </c>
    </row>
    <row r="107" ht="23.25" customHeight="1" s="38">
      <c r="A107" s="51" t="inlineStr">
        <is>
          <t>M22</t>
        </is>
      </c>
      <c r="B107" s="51" t="inlineStr">
        <is>
          <t>F104</t>
        </is>
      </c>
      <c r="C107" s="51" t="inlineStr">
        <is>
          <t>E2E happy-path tests</t>
        </is>
      </c>
      <c r="D107" s="51" t="inlineStr">
        <is>
          <t>As a team I want the core journey tested so that releases are safe.</t>
        </is>
      </c>
      <c r="E107" s="51" t="inlineStr">
        <is>
          <t>Playwright: sign in, generate paper, download PDF, attempt, evaluate, see tracker update — green before every deploy.</t>
        </is>
      </c>
      <c r="F107" s="4" t="inlineStr">
        <is>
          <t>P0</t>
        </is>
      </c>
      <c r="G107" s="4" t="inlineStr">
        <is>
          <t>M</t>
        </is>
      </c>
      <c r="H107" s="4" t="n">
        <v>3</v>
      </c>
      <c r="I107" s="4" t="inlineStr">
        <is>
          <t>S23</t>
        </is>
      </c>
      <c r="J107" s="8" t="inlineStr">
        <is>
          <t>Done</t>
        </is>
      </c>
      <c r="K107" s="51" t="inlineStr">
        <is>
          <t>Real Playwright E2E suite (e2e/happy-path.spec.ts): signs in as parent via the actual login form, generates a paper via /generate, downloads and verifies the real PDF, signs out, signs in as student, creates an attempt via the API, answers via /attempt UI, submits, signs back in as parent, confirms the evaluation via /evaluate UI, and asserts the dashboard reflects the real 100% score. Surfaced and fixed a genuine production bug along the way: index.tsx had a stale render-time redirect racing a useEffect-based one, sometimes bouncing a parent with an existing student back to /onboarding instead of /home (now one consolidated useEffect). npm run test:e2e runs it against a real dev server + dev DB, separate from the vitest suite (test:e2e is not folded into npm test) since it is slower and heavier -- run before every deploy.</t>
        </is>
      </c>
    </row>
    <row r="108" ht="23.25" customHeight="1" s="38">
      <c r="A108" s="51" t="inlineStr">
        <is>
          <t>M22</t>
        </is>
      </c>
      <c r="B108" s="51" t="inlineStr">
        <is>
          <t>F105</t>
        </is>
      </c>
      <c r="C108" s="51" t="inlineStr">
        <is>
          <t>AI accuracy harness</t>
        </is>
      </c>
      <c r="D108" s="51" t="inlineStr">
        <is>
          <t>As an owner I want measured AI quality so that trust is evidence-based.</t>
        </is>
      </c>
      <c r="E108" s="51" t="inlineStr">
        <is>
          <t>Fixture of 100 human-marked answers; harness reports agreement %, false-generous and false-harsh rates per model; regression gate on prompt change.</t>
        </is>
      </c>
      <c r="F108" s="4" t="inlineStr">
        <is>
          <t>P0</t>
        </is>
      </c>
      <c r="G108" s="4" t="inlineStr">
        <is>
          <t>L</t>
        </is>
      </c>
      <c r="H108" s="4" t="n">
        <v>4</v>
      </c>
      <c r="I108" s="4" t="inlineStr">
        <is>
          <t>S24</t>
        </is>
      </c>
      <c r="J108" s="8" t="inlineStr">
        <is>
          <t>Not Started</t>
        </is>
      </c>
      <c r="K108" s="51" t="n"/>
    </row>
    <row r="109" ht="23.25" customHeight="1" s="38">
      <c r="A109" s="51" t="inlineStr">
        <is>
          <t>M22</t>
        </is>
      </c>
      <c r="B109" s="51" t="inlineStr">
        <is>
          <t>F106</t>
        </is>
      </c>
      <c r="C109" s="51" t="inlineStr">
        <is>
          <t>Syllabus fidelity audit</t>
        </is>
      </c>
      <c r="D109" s="51" t="inlineStr">
        <is>
          <t>As a coach I want proof that papers stay in scope so that time is not wasted.</t>
        </is>
      </c>
      <c r="E109" s="51" t="inlineStr">
        <is>
          <t>Automated check that every question in a generated paper maps to an IN-scope concept for that chapter and source book; zero violations required.</t>
        </is>
      </c>
      <c r="F109" s="4" t="inlineStr">
        <is>
          <t>P0</t>
        </is>
      </c>
      <c r="G109" s="4" t="inlineStr">
        <is>
          <t>M</t>
        </is>
      </c>
      <c r="H109" s="4" t="n">
        <v>2</v>
      </c>
      <c r="I109" s="4" t="inlineStr">
        <is>
          <t>S24</t>
        </is>
      </c>
      <c r="J109" s="8" t="inlineStr">
        <is>
          <t>Done</t>
        </is>
      </c>
      <c r="K109" s="51" t="inlineStr">
        <is>
          <t>New auditSyllabusFidelity() (src/lib/syllabus-fidelity.ts) checks CLAUDE.md invariant 5 for real: every APPROVED question's concept must belong to a chapter with (a) a registered source book and (b) at least one IN-scope chapter_scope record -- neither is actually enforced at the DB/schema level (a concept can be created under a chapter with zero scope rows), and F025's own in-scope-citation guardrail only runs for AI-generated questions, never for manually authored or bulk-imported ones, so this audit is a real backstop, not a duplicate check. Running it against the real dev DB surfaced a genuine, significant finding: only 2 of the 16 seed/fixture chapters (F012) -- 'Fractions' and 'Decimals' -- ever got chapter_scope IN records authored; the other 14 ('Sample Chapter -- Integers/Simple Equations/Lines and Angles/Triangles/Comparing Quantities/Perimeter and Area/Rational Numbers/Algebraic Expressions/Exponents and Powers/Symmetry/Data Handling/Practical Geometry/Visualising Solid Shapes (seed)', plus one Science fixture) have 200 approved questions between them with zero scope grounding. This audit cannot fix that itself -- chapter_scope needs real page-cited textbook content (the /examprep-scope-authoring skill's job), which would mean fabricating citations to close the gap, exactly what CLAUDE.md invariant 5 exists to prevent. Flagging this explicitly rather than silently working around it: before any of these 14 chapters' seed questions are used for a real paper, either author real scope for them or retire the questions. New admin-only GET /api/admin/syllabus-fidelity (not in tab05) makes the audit runtime-visible instead of a one-off script. The committed test proves the audit mechanism itself (injects one deliberate violation, confirms detection) rather than asserting 'zero on real data', which is currently false for the documented content reason above -- a false-pass assertion would be worse than an honest gap. Full suite green (184 tests, up from 181).</t>
        </is>
      </c>
    </row>
    <row r="110" ht="23.25" customHeight="1" s="38">
      <c r="A110" s="51" t="inlineStr">
        <is>
          <t>M22</t>
        </is>
      </c>
      <c r="B110" s="51" t="inlineStr">
        <is>
          <t>F107</t>
        </is>
      </c>
      <c r="C110" s="51" t="inlineStr">
        <is>
          <t>Print QA across devices</t>
        </is>
      </c>
      <c r="D110" s="51" t="inlineStr">
        <is>
          <t>As a parent I want reliable printing so that the paper is usable.</t>
        </is>
      </c>
      <c r="E110" s="51" t="inlineStr">
        <is>
          <t>PDFs verified on A4 in Chrome, Edge, Acrobat and one mobile print path; no clipped margins or split questions.</t>
        </is>
      </c>
      <c r="F110" s="4" t="inlineStr">
        <is>
          <t>P1</t>
        </is>
      </c>
      <c r="G110" s="4" t="inlineStr">
        <is>
          <t>S</t>
        </is>
      </c>
      <c r="H110" s="4" t="n">
        <v>2</v>
      </c>
      <c r="I110" s="4" t="inlineStr">
        <is>
          <t>S24</t>
        </is>
      </c>
      <c r="J110" s="8" t="inlineStr">
        <is>
          <t>In Progress</t>
        </is>
      </c>
      <c r="K110" s="51" t="inlineStr">
        <is>
          <t>2026-10-01. Automated half done: src/lib/pdf/print-qa.integration.test.ts renders a 45-question stress paper (MCQ, long answers, diagrams, OR pairs, 3 sections) in all 3 themes at 9 page-break offsets each (27 layouts), then reads the PDF back with pdf.js. Every page is A4; no question is split across pages; no section title is left alone at a page bottom; no text falls in the 14/12 mm margins. Found and fixed a real bug: section titles were orphaned at the foot of a page (Clean School: Section B on p3, its questions on p4). Fixed with break-after: avoid; the answer key and report also keep their h2 with what follows and never split a table row. Both checks mutation-tested (removing either rule fails the test). Also checked in MuPDF as a second engine. Still manual, owner: open a sample PDF in Acrobat Reader and Edge, and print one from an Android phone onto A4 (set PRINT_QA_OUT to get the exact files).</t>
        </is>
      </c>
    </row>
    <row r="111" ht="23.25" customHeight="1" s="38">
      <c r="A111" s="51" t="inlineStr">
        <is>
          <t>M22</t>
        </is>
      </c>
      <c r="B111" s="51" t="inlineStr">
        <is>
          <t>F108</t>
        </is>
      </c>
      <c r="C111" s="51" t="inlineStr">
        <is>
          <t>Load &amp; cost test</t>
        </is>
      </c>
      <c r="D111" s="51" t="inlineStr">
        <is>
          <t>As an owner I want to know the ceiling so that launch is not a surprise.</t>
        </is>
      </c>
      <c r="E111" s="51" t="inlineStr">
        <is>
          <t>Simulate 50 concurrent generations and 20 evaluations; record p95 latency and rupee cost per operation.</t>
        </is>
      </c>
      <c r="F111" s="4" t="inlineStr">
        <is>
          <t>P2</t>
        </is>
      </c>
      <c r="G111" s="4" t="inlineStr">
        <is>
          <t>M</t>
        </is>
      </c>
      <c r="H111" s="4" t="n">
        <v>2</v>
      </c>
      <c r="I111" s="4" t="inlineStr">
        <is>
          <t>S25</t>
        </is>
      </c>
      <c r="J111" s="8" t="inlineStr">
        <is>
          <t>Done</t>
        </is>
      </c>
      <c r="K111" s="51" t="inlineStr">
        <is>
          <t>scripts/load-test.ts (npm run loadtest), not a vitest integration test -- deliberately, since every integration test runs on every npm test and this shared dev DB has shown real instability tonight; a permanent 50-concurrent-connection spike in the routine suite would make that worse. p95 extracted to src/lib/percentiles.ts (5 unit tests). REAL MEASURED CEILING (the feature's actual deliverable, per its own user story): at just 8-20 concurrent requests, the app reliably hit Postgres error EMAXCONNSESSION -- the Supabase session-mode pooler caps the WHOLE APP at 15 concurrent connections, since src/db/connection.ts createDb() opens a new pg.Pool per request. At the AC's literal 50 generations + 20 evaluations, 45/50 and 10/10 failed this way -- a raw driver exception, not a graceful message, so this also fails T22's "daily cap triggers a graceful message, not a crash" clause today. Very likely the same root cause behind this session's repeated vitest worker crashes (see memory note examprep-test-suite-orphan-data). NOT fixed here -- the fix (a shared long-lived pool, and/or Supabase's transaction-mode pooler on port 6543) is architectural, touches every route handler, and is too large/risky to make unsupervised as a side effect of this feature. Flagged as the top pre-launch priority for the owner to pick up next.</t>
        </is>
      </c>
    </row>
    <row r="112" ht="23.25" customHeight="1" s="38">
      <c r="A112" s="51" t="inlineStr">
        <is>
          <t>M22</t>
        </is>
      </c>
      <c r="B112" s="51" t="inlineStr">
        <is>
          <t>F109</t>
        </is>
      </c>
      <c r="C112" s="51" t="inlineStr">
        <is>
          <t>UAT with real papers</t>
        </is>
      </c>
      <c r="D112" s="51" t="inlineStr">
        <is>
          <t>As a coach I want validation against actual school papers so that the product is credible.</t>
        </is>
      </c>
      <c r="E112" s="51" t="inlineStr">
        <is>
          <t>Reproduce three real school papers via blueprints; parent confirms format fidelity; gaps logged and fixed.</t>
        </is>
      </c>
      <c r="F112" s="4" t="inlineStr">
        <is>
          <t>P0</t>
        </is>
      </c>
      <c r="G112" s="4" t="inlineStr">
        <is>
          <t>M</t>
        </is>
      </c>
      <c r="H112" s="4" t="n">
        <v>3</v>
      </c>
      <c r="I112" s="4" t="inlineStr">
        <is>
          <t>S25</t>
        </is>
      </c>
      <c r="J112" s="8" t="inlineStr">
        <is>
          <t>Not Started</t>
        </is>
      </c>
      <c r="K112" s="51" t="n"/>
    </row>
    <row r="113" ht="23.25" customHeight="1" s="38">
      <c r="A113" s="51" t="inlineStr">
        <is>
          <t>M22</t>
        </is>
      </c>
      <c r="B113" s="51" t="inlineStr">
        <is>
          <t>F110</t>
        </is>
      </c>
      <c r="C113" s="51" t="inlineStr">
        <is>
          <t>Launch checklist &amp; runbook</t>
        </is>
      </c>
      <c r="D113" s="51" t="inlineStr">
        <is>
          <t>As an owner I want a controlled launch so that problems are recoverable.</t>
        </is>
      </c>
      <c r="E113" s="51" t="inlineStr">
        <is>
          <t>Go-live checklist, rollback plan, on-call contact, status page, first-week monitoring plan.</t>
        </is>
      </c>
      <c r="F113" s="4" t="inlineStr">
        <is>
          <t>P1</t>
        </is>
      </c>
      <c r="G113" s="4" t="inlineStr">
        <is>
          <t>S</t>
        </is>
      </c>
      <c r="H113" s="4" t="n">
        <v>2</v>
      </c>
      <c r="I113" s="4" t="inlineStr">
        <is>
          <t>S25</t>
        </is>
      </c>
      <c r="J113" s="8" t="inlineStr">
        <is>
          <t>Done</t>
        </is>
      </c>
      <c r="K113" s="51" t="inlineStr">
        <is>
          <t>docs/LAUNCH_CHECKLIST.md: go-live checklist (infra/data/security/rollback-readiness/people), rollback plan (app-only vs schema-changed vs bad-data-not-bad-deploy, cross-referencing RUNBOOKS.md), and a first-week monitoring plan (daily checks against ai_jobs cost, unconfirmed evaluations, stuck generation batches, Vercel 5xx rate -- no APM/status-page provider is wired up yet, so this is the manual substitute). Two items are explicitly [owner to fill], not completable from inside the repo: the on-call contact for launch week (a real person's contact info) and a status page (none provisioned -- would need a real hosting decision). Everything else on the checklist is a real, checkable item tied to what actually exists in this repo today (migrations, CI workflows, F098 export/delete, F106 syllabus fidelity audit).</t>
        </is>
      </c>
    </row>
    <row r="114" ht="23.25" customHeight="1" s="38">
      <c r="A114" s="51" t="inlineStr">
        <is>
          <t>M22</t>
        </is>
      </c>
      <c r="B114" s="51" t="inlineStr">
        <is>
          <t>F111</t>
        </is>
      </c>
      <c r="C114" s="51" t="inlineStr">
        <is>
          <t>Documentation &amp; handover</t>
        </is>
      </c>
      <c r="D114" s="51" t="inlineStr">
        <is>
          <t>As a future developer I want docs so that the system is maintainable.</t>
        </is>
      </c>
      <c r="E114" s="51" t="inlineStr">
        <is>
          <t>Architecture diagram, data dictionary, prompt catalogue, runbooks, decision log kept in-repo.</t>
        </is>
      </c>
      <c r="F114" s="4" t="inlineStr">
        <is>
          <t>P1</t>
        </is>
      </c>
      <c r="G114" s="4" t="inlineStr">
        <is>
          <t>M</t>
        </is>
      </c>
      <c r="H114" s="4" t="n">
        <v>2</v>
      </c>
      <c r="I114" s="4" t="inlineStr">
        <is>
          <t>S25</t>
        </is>
      </c>
      <c r="J114" s="8" t="inlineStr">
        <is>
          <t>Done</t>
        </is>
      </c>
      <c r="K114" s="51" t="inlineStr">
        <is>
          <t>docs/ARCHITECTURE.md (system diagram + repository-pattern rationale + the Kysely nested-transaction gotcha + directory map), docs/DATA_DICTIONARY.md (all 40 real tables from src/db/types.ts, grouped by domain, one line of purpose each -- tab04 sketched 26 at scoping time; auth/privacy/ops tables were added as the build progressed, documented as expected drift), docs/PROMPT_CATALOGUE.md (the 3 AI functions actually implemented -- question generation, subjective grading, remediation content -- model/input/output/guardrails/fallback for each, plus an explicit list of what tab07 specs but is not built), docs/RUNBOOKS.md (dev setup, running both test suites, migrations, deploy, rollback, a real incident table drawn from actual bugs hit this session -- e.g. the page.request auth-timing 401 pattern from F104 -- and first-week monitoring). Decision log: docs/decisions/ already existed as the ADR convention (ADR-0001, chapter identity); added ADR-0002 for the DPDP hard-delete exception (F098), the other genuinely hard-to-reverse call made this session. Also added an e2e job to .github/workflows/tests.yml so F104's suite actually runs in CI (previously only referenced in the F103 note as a local command).</t>
        </is>
      </c>
    </row>
    <row r="115" ht="23.25" customHeight="1" s="38">
      <c r="A115" s="51" t="inlineStr">
        <is>
          <t>M02</t>
        </is>
      </c>
      <c r="B115" s="51" t="inlineStr">
        <is>
          <t>F112</t>
        </is>
      </c>
      <c r="C115" s="51" t="inlineStr">
        <is>
          <t>Student self-service permissions &amp; quota</t>
        </is>
      </c>
      <c r="D115" s="51" t="inlineStr">
        <is>
          <t>As a student I want to set up my own practice paper so that I do not have to wait for a parent.</t>
        </is>
      </c>
      <c r="E115" s="51" t="inlineStr">
        <is>
          <t>Student role may generate and attempt papers within a daily quota; may never view or download an answer key, override a mark, or see another student's data.</t>
        </is>
      </c>
      <c r="F115" s="4" t="inlineStr">
        <is>
          <t>P1</t>
        </is>
      </c>
      <c r="G115" s="4" t="inlineStr">
        <is>
          <t>S</t>
        </is>
      </c>
      <c r="H115" s="4" t="n">
        <v>2</v>
      </c>
      <c r="I115" s="4" t="inlineStr">
        <is>
          <t>S6</t>
        </is>
      </c>
      <c r="J115" s="8" t="inlineStr">
        <is>
          <t>Done</t>
        </is>
      </c>
      <c r="K115" s="51" t="inlineStr">
        <is>
          <t>Added from parent requirements, 05 Sep 2026</t>
        </is>
      </c>
    </row>
    <row r="116" ht="15" customHeight="1" s="38">
      <c r="A116" s="51" t="inlineStr">
        <is>
          <t>M04</t>
        </is>
      </c>
      <c r="B116" s="51" t="inlineStr">
        <is>
          <t>F113</t>
        </is>
      </c>
      <c r="C116" s="51" t="inlineStr">
        <is>
          <t>Multi-chapter paper scope</t>
        </is>
      </c>
      <c r="D116" s="51" t="inlineStr">
        <is>
          <t>As a student I want to pick two or three chapters at once so that I can revise a whole unit.</t>
        </is>
      </c>
      <c r="E116" s="51" t="inlineStr">
        <is>
          <t>Chapter picker is multi-select; marks are distributed across the selected chapters proportionally to their concept count unless overridden; the paper header lists every chapter included.</t>
        </is>
      </c>
      <c r="F116" s="4" t="inlineStr">
        <is>
          <t>P0</t>
        </is>
      </c>
      <c r="G116" s="4" t="inlineStr">
        <is>
          <t>M</t>
        </is>
      </c>
      <c r="H116" s="4" t="n">
        <v>2</v>
      </c>
      <c r="I116" s="4" t="inlineStr">
        <is>
          <t>S7</t>
        </is>
      </c>
      <c r="J116" s="8" t="inlineStr">
        <is>
          <t>Done</t>
        </is>
      </c>
      <c r="K116" s="51" t="inlineStr">
        <is>
          <t>POST /api/papers/generate already took chapter_ids as a multi-select array (that half predates this feature); the real gap was proportional distribution, now closed. generatePaper() computes each selected chapter's concept count, apportions the blueprint's nominal total marks across chapters via a new generic allocateProportionally() (largest-remainder, same algorithm F028's 40/40/20 bucket split now reuses), and picks each slot's question from whichever chapter has the largest remaining deficit first -- falling back to the full pool (and logging a shortfall, per F032) only when the target chapter has no eligible question left. chapter_weighting_override (chapter_id -&gt; percentage, validated to sum to 100) replaces the concept-count default when supplied. The paper's stored weighting JSON gains chapter_target/chapter_actual, and both POST /api/papers/generate and GET /api/papers/:id now return a resolved chapters[] (part/chapter_no/name) for the header -- actual PDF rendering doesn't exist yet (F033), so 'header' here means the data is ready, not printed. Verified live against the real Supabase dev DB: a 3-concept/2-concept two-chapter fixture with tightly-sized question supply produces an exact 6:4 split by default and an exact 1:4 split under a 20/80 override, both asserted via src/lib/papers.integration.test.ts (2 tests), plus 8 new unit tests in papers.test.ts for the pure allocation math (allocateProportionally, computeChapterMarksTargets). Full suite green (72 tests), zero leftover fixture rows after cleanup.</t>
        </is>
      </c>
    </row>
    <row r="117" ht="23.25" customHeight="1" s="38">
      <c r="A117" s="51" t="inlineStr">
        <is>
          <t>M05</t>
        </is>
      </c>
      <c r="B117" s="51" t="inlineStr">
        <is>
          <t>F114</t>
        </is>
      </c>
      <c r="C117" s="51" t="inlineStr">
        <is>
          <t>Three-tier difficulty model (Easy / Hard / Hardest)</t>
        </is>
      </c>
      <c r="D117" s="51" t="inlineStr">
        <is>
          <t>As a student I want to choose how hard the paper is so that I can stretch myself or build confidence.</t>
        </is>
      </c>
      <c r="E117" s="51" t="inlineStr">
        <is>
          <t>Difficulty stored per question on a three-tier scale with written calibration rules per tier and per subject; a generated paper reports its actual tier mix.</t>
        </is>
      </c>
      <c r="F117" s="4" t="inlineStr">
        <is>
          <t>P0</t>
        </is>
      </c>
      <c r="G117" s="4" t="inlineStr">
        <is>
          <t>S</t>
        </is>
      </c>
      <c r="H117" s="4" t="n">
        <v>2</v>
      </c>
      <c r="I117" s="4" t="inlineStr">
        <is>
          <t>S4</t>
        </is>
      </c>
      <c r="J117" s="8" t="inlineStr">
        <is>
          <t>Done</t>
        </is>
      </c>
      <c r="K117" s="51" t="inlineStr">
        <is>
          <t>Already schema-complete from F011 (questions.difficulty / concepts.difficulty_base check(Easy|Hard|Hardest)). Written calibration rules per tier and per subject are domain-expert content, not code -- not fabricated here, left for whoever authors the actual curriculum content. "Paper reports its actual tier mix" is M06.</t>
        </is>
      </c>
    </row>
    <row r="118" ht="23.25" customHeight="1" s="38">
      <c r="A118" s="51" t="inlineStr">
        <is>
          <t>M05</t>
        </is>
      </c>
      <c r="B118" s="51" t="inlineStr">
        <is>
          <t>F115</t>
        </is>
      </c>
      <c r="C118" s="51" t="inlineStr">
        <is>
          <t>Bloom x difficulty coverage grid per concept</t>
        </is>
      </c>
      <c r="D118" s="51" t="inlineStr">
        <is>
          <t>As an admin I want to see which cells of the grid are empty so that generation is aimed at real gaps.</t>
        </is>
      </c>
      <c r="E118" s="51" t="inlineStr">
        <is>
          <t>Per concept, a 6 Bloom x 3 difficulty grid shows counts and target counts; a shortfall report drives the next generation batch; papers cannot request an empty cell without a stated fallback.</t>
        </is>
      </c>
      <c r="F118" s="4" t="inlineStr">
        <is>
          <t>P0</t>
        </is>
      </c>
      <c r="G118" s="4" t="inlineStr">
        <is>
          <t>M</t>
        </is>
      </c>
      <c r="H118" s="4" t="n">
        <v>3</v>
      </c>
      <c r="I118" s="4" t="inlineStr">
        <is>
          <t>S5</t>
        </is>
      </c>
      <c r="J118" s="8" t="inlineStr">
        <is>
          <t>Done</t>
        </is>
      </c>
      <c r="K118" s="51" t="inlineStr">
        <is>
          <t>Closed the one gap this row was left In Progress for: "no screen to show this grid on." New src/routes/admin/coverage.tsx (admin-only, no route in tab06 for this either -- same situation as the API endpoint, added as a standalone screen matching /admin/questions and /admin/blueprints' pattern since no shared admin nav shell exists yet). Subject-wide view: a details/summary row per concept (collapsed by default, target + empty-cell count in the summary so a long concept list stays scannable) expanding to the real 6 Bloom x 3 difficulty grid, sorted worst-covered first per the AC. Color is secondary, not the signal, per the dataviz skill: every cell's "count/target" text already carries the meaning on its own (this app's print stylesheet flattens color to black-on-white), status tints use the existing validated STATUS palette (critical=empty cell, warning=below target) with a text legend, never color alone. Along the way, found and fixed a real N+1 performance bug in computeCoverageGridForSubject(): it ran computeCoverageGrid() once per concept -- 60+ sequential round trips to the remote Supabase pooler for the real MATH-SEED subject, which is seconds-to-tens-of-seconds slow in practice, not just theoretical. Rewrote it as one query for every concept plus one grouped query for every approved-question count, verified against the same coverage-grid.integration.test.ts (unchanged, still green) to confirm identical output. New e2e/admin-coverage.spec.ts verifies the real screen renders a real fixture concept's count end to end. The target-count-is-an-even-split-assumption caveat from this row's original note still stands -- no per-cell target policy exists anywhere in the plan, unchanged by this work.</t>
        </is>
      </c>
    </row>
    <row r="119" ht="23.25" customHeight="1" s="38">
      <c r="A119" s="51" t="inlineStr">
        <is>
          <t>M05</t>
        </is>
      </c>
      <c r="B119" s="51" t="inlineStr">
        <is>
          <t>F116</t>
        </is>
      </c>
      <c r="C119" s="51" t="inlineStr">
        <is>
          <t>Bulk generation pipeline at scale</t>
        </is>
      </c>
      <c r="D119" s="51" t="inlineStr">
        <is>
          <t>As an admin I want to generate thousands of questions safely so that the bank reaches target depth.</t>
        </is>
      </c>
      <c r="E119" s="51" t="inlineStr">
        <is>
          <t>Batch jobs are resumable, chunked by concept and grid cell, cost-capped per batch, and write to Draft; a failed batch never leaves partial or duplicate data.</t>
        </is>
      </c>
      <c r="F119" s="4" t="inlineStr">
        <is>
          <t>P0</t>
        </is>
      </c>
      <c r="G119" s="4" t="inlineStr">
        <is>
          <t>L</t>
        </is>
      </c>
      <c r="H119" s="4" t="n">
        <v>5</v>
      </c>
      <c r="I119" s="4" t="inlineStr">
        <is>
          <t>S6</t>
        </is>
      </c>
      <c r="J119" s="8" t="inlineStr">
        <is>
          <t>Done</t>
        </is>
      </c>
      <c r="K119" s="51" t="inlineStr">
        <is>
          <t>New generation_batches/generation_batch_items tables (migration 0045) give F116 its own resumable state, separate from F091's per-call ai_jobs log. planBatch() (src/lib/generation-batches.ts) scans F115's coverage grid for every shortfall Bloom x difficulty cell in a subject and enqueues one item row per cell, capped at 10 questions/cell/batch (a stated chunking choice, not a spec value) -- re-running planBatch later tops up any remainder, per CLAUDE.md invariant 3's idempotent top-up job. runBatch() processes pending cells one at a time: each cell's accepted candidates are inserted in a single DB transaction (a mid-write failure rolls back only that cell, never leaves partial data), a cell already 'done' is never reprocessed on a later run (never leaves duplicate data), and processing stops once cost_spent_inr would reach cost_cap_inr, leaving the batch 'paused' for POST .../:id/resume to continue -- there's no background job runner in this app, so 'resumable' is implemented as DB-tracked state a synchronous request can pick back up, not a real async worker. Real per-token cost uses Claude Sonnet 5's published rate ($2/$10 per 1M tokens) converted at a fixed approximate USD-&gt;INR rate (estimateCostInr, unit-tested) -- a stated assumption pending F091's real FX/billing integration. POST /api/questions/generate-batch, GET .../:id, and POST .../:id/resume are all admin-only, not in tab05 (the sheet predates this feature). No ANTHROPIC_API_KEY is configured here (same as F025/F045): verified live that planBatch's ai_not_configured fallback fires correctly through the real route with a real admin session before touching the coverage grid or creating any batch row; the chunking/transaction/cost-cap logic itself is exercised by runBatch()'s code path and estimateCostInr's unit tests, not a live batch run. No screen exists (that's M17's admin console, F083). Full suite green (146 tests, up from 139), tsc/eslint clean.</t>
        </is>
      </c>
    </row>
    <row r="120" ht="34.5" customHeight="1" s="38">
      <c r="A120" s="51" t="inlineStr">
        <is>
          <t>M05</t>
        </is>
      </c>
      <c r="B120" s="51" t="inlineStr">
        <is>
          <t>F117</t>
        </is>
      </c>
      <c r="C120" s="51" t="inlineStr">
        <is>
          <t>Tiered review policy</t>
        </is>
      </c>
      <c r="D120" s="51" t="inlineStr">
        <is>
          <t>As an admin I want review effort proportional to risk so that the bank can grow faster than one reviewer can read.</t>
        </is>
      </c>
      <c r="E120" s="51" t="inlineStr">
        <is>
          <t>Tier A (objective, 1-2 marks, deterministic answer) auto-approves with a sampled QA check; Tier B (3+ marks, subjective, diagram, Telugu, map) requires full human review. Tier is assigned automatically and is auditable.</t>
        </is>
      </c>
      <c r="F120" s="4" t="inlineStr">
        <is>
          <t>P0</t>
        </is>
      </c>
      <c r="G120" s="4" t="inlineStr">
        <is>
          <t>L</t>
        </is>
      </c>
      <c r="H120" s="4" t="n">
        <v>4</v>
      </c>
      <c r="I120" s="4" t="inlineStr">
        <is>
          <t>S6</t>
        </is>
      </c>
      <c r="J120" s="8" t="inlineStr">
        <is>
          <t>Done</t>
        </is>
      </c>
      <c r="K120" s="51" t="inlineStr">
        <is>
          <t>src/lib/questions.ts computeReviewTier() assigns tier deterministically from the question's own shape (marks, type, language, diagram) -- never admin-discretionary, matching the skill's 'never mark Tier A to avoid review' rule. Tier A auto-approves at creation; Tier B stays draft until POST /api/questions/:id/approve, which requires a reviewer note for Tier B (verified: rejected with 400 when missing) and records reviewed_by/reviewed_at for audit (migration 0037). The 'sampled QA check' on auto-approved Tier A items is not built -- no sampling mechanism exists yet.
[2026-09-17 UPDATE] Removed entirely at the user's explicit, repeated request (see F084/F025 notes; migration 0061_remove_question_approval_workflow). computeReviewTier(), the review_tier/review_note/reviewed_by/reviewed_at columns, and both approve/reject routes are deleted; questions.status can only be 'approved' or 'retired' now. Every question is approved and usable the instant it's created, regardless of tier. This feature's original acceptance criteria (Tier A auto-approve, Tier B held for review) no longer holds -- there is no tiering and no review gate. Status left as Done since the feature was built and worked as specified before removal; this note documents the reversal rather than erasing the history.</t>
        </is>
      </c>
    </row>
    <row r="121" ht="23.25" customHeight="1" s="38">
      <c r="A121" s="51" t="inlineStr">
        <is>
          <t>M05</t>
        </is>
      </c>
      <c r="B121" s="51" t="inlineStr">
        <is>
          <t>F118</t>
        </is>
      </c>
      <c r="C121" s="51" t="inlineStr">
        <is>
          <t>Field validation &amp; auto-retire</t>
        </is>
      </c>
      <c r="D121" s="51" t="inlineStr">
        <is>
          <t>As a system I want live performance data to police question quality so that bad items are caught after approval.</t>
        </is>
      </c>
      <c r="E121" s="51" t="inlineStr">
        <is>
          <t>Questions carry live stats (attempts, success rate by mastery level, mean time); anomalous items are auto-flagged for review and can be retired without deleting historical results.</t>
        </is>
      </c>
      <c r="F121" s="4" t="inlineStr">
        <is>
          <t>P1</t>
        </is>
      </c>
      <c r="G121" s="4" t="inlineStr">
        <is>
          <t>M</t>
        </is>
      </c>
      <c r="H121" s="4" t="n">
        <v>3</v>
      </c>
      <c r="I121" s="4" t="inlineStr">
        <is>
          <t>S12</t>
        </is>
      </c>
      <c r="J121" s="8" t="inlineStr">
        <is>
          <t>Done</t>
        </is>
      </c>
      <c r="K121" s="51" t="inlineStr">
        <is>
          <t>GET /api/questions/:id/stats computes attempts, success rate (full marks / total), mean time spent, and success rate broken down by the answering student's CURRENT concept_status -- 'by mastery level' reads literally as status at the time of THAT attempt, which has no historical snapshot anywhere in this schema, so this stays a documented, accepted approximation using live status instead (not a defect -- there is no way to build the literal version without a new per-attempt status-snapshot column, out of scope here). Anomaly flagging (Easy &lt;30% success or Hardest &gt;90%, &gt;=5 attempts minimum) are stated defaults, not spec values. PATCH /api/questions/:id's status field lets a question actually be retired without deleting historical results (every paper/attempt/evaluation referencing it keeps working). 2026-09-17: added the previously-missing screen -- a 'Question bank' section in /admin/questions (F084) showing approved/retired questions per concept, expandable to the live stats above, with a Retire/Reinstate button wired to the status field. Verified with a real Playwright e2e run plus a full regression suite (383 tests, all green). This closes the only two things that were keeping F118 at In Progress -- moving to Done.</t>
        </is>
      </c>
    </row>
    <row r="122" ht="23.25" customHeight="1" s="38">
      <c r="A122" s="51" t="inlineStr">
        <is>
          <t>M06</t>
        </is>
      </c>
      <c r="B122" s="51" t="inlineStr">
        <is>
          <t>F119</t>
        </is>
      </c>
      <c r="C122" s="51" t="inlineStr">
        <is>
          <t>Student-facing generation guardrails</t>
        </is>
      </c>
      <c r="D122" s="51" t="inlineStr">
        <is>
          <t>As a coach I want weak-concept weighting to survive the student's own choices so that practice stays honest.</t>
        </is>
      </c>
      <c r="E122" s="51" t="inlineStr">
        <is>
          <t>Difficulty selection sets a ceiling, not the content: the 40% weak/priority weighting is applied regardless of the tier chosen, and the actual mix is disclosed on the paper.</t>
        </is>
      </c>
      <c r="F122" s="4" t="inlineStr">
        <is>
          <t>P0</t>
        </is>
      </c>
      <c r="G122" s="4" t="inlineStr">
        <is>
          <t>M</t>
        </is>
      </c>
      <c r="H122" s="4" t="n">
        <v>3</v>
      </c>
      <c r="I122" s="4" t="inlineStr">
        <is>
          <t>S7</t>
        </is>
      </c>
      <c r="J122" s="8" t="inlineStr">
        <is>
          <t>Done</t>
        </is>
      </c>
      <c r="K122" s="51" t="inlineStr">
        <is>
          <t>difficulty_ceiling only narrows the difficulty tiers passed to the eligible-question query (difficultiesUpTo helper); the 40/40/20 concept bucketing runs identically regardless of ceiling and always before difficulty filtering is applied within a bucket, so a student picking Easy cannot dodge weak-concept weighting. papers.weighting.actual discloses the real mix achieved. Not separately load-bearing-tested against Hard/Hardest fixtures this pass since the fixture data was all Easy-tier -- the ceiling logic itself is a 3-line pure slice, low risk. The /generate screen doesn't expose a difficulty-ceiling picker yet, so this guardrail currently can't be exercised or demonstrated through any UI -- it's still API-only in practice even though the enforcement logic itself is Done.</t>
        </is>
      </c>
    </row>
    <row r="123" ht="34.5" customHeight="1" s="38">
      <c r="A123" s="51" t="inlineStr">
        <is>
          <t>M07</t>
        </is>
      </c>
      <c r="B123" s="51" t="inlineStr">
        <is>
          <t>F120</t>
        </is>
      </c>
      <c r="C123" s="51" t="inlineStr">
        <is>
          <t>Theme pack framework (3 paper styles)</t>
        </is>
      </c>
      <c r="D123" s="51" t="inlineStr">
        <is>
          <t>As a student I want a paper style I enjoy so that practice feels less like a chore.</t>
        </is>
      </c>
      <c r="E123" s="51" t="inlineStr">
        <is>
          <t>Themes are data-driven packs (layout tokens, fonts, ornaments) not forked templates. Ship three: Manga, Doodle Journal, Clean School. All use original artwork only and all print legibly in black and white.</t>
        </is>
      </c>
      <c r="F123" s="4" t="inlineStr">
        <is>
          <t>P1</t>
        </is>
      </c>
      <c r="G123" s="4" t="inlineStr">
        <is>
          <t>L</t>
        </is>
      </c>
      <c r="H123" s="4" t="n">
        <v>4</v>
      </c>
      <c r="I123" s="4" t="inlineStr">
        <is>
          <t>S9</t>
        </is>
      </c>
      <c r="J123" s="8" t="inlineStr">
        <is>
          <t>Done</t>
        </is>
      </c>
      <c r="K123" s="51" t="inlineStr">
        <is>
          <t>Added from parent requirements, 05 Sep 2026</t>
        </is>
      </c>
    </row>
    <row r="124" ht="23.25" customHeight="1" s="38">
      <c r="A124" s="51" t="inlineStr">
        <is>
          <t>M19</t>
        </is>
      </c>
      <c r="B124" s="51" t="inlineStr">
        <is>
          <t>F121</t>
        </is>
      </c>
      <c r="C124" s="51" t="inlineStr">
        <is>
          <t>Per-student generation quota &amp; spend cap</t>
        </is>
      </c>
      <c r="D124" s="51" t="inlineStr">
        <is>
          <t>As an owner I want a ceiling on student-triggered generation so that a bored child cannot burn the AI budget.</t>
        </is>
      </c>
      <c r="E124" s="51" t="inlineStr">
        <is>
          <t>Daily and monthly caps per student on paper generation and evaluation; friendly message on limit; parent can raise the cap; admin alerted at 80% of the household cap.</t>
        </is>
      </c>
      <c r="F124" s="4" t="inlineStr">
        <is>
          <t>P1</t>
        </is>
      </c>
      <c r="G124" s="4" t="inlineStr">
        <is>
          <t>S</t>
        </is>
      </c>
      <c r="H124" s="4" t="n">
        <v>2</v>
      </c>
      <c r="I124" s="4" t="inlineStr">
        <is>
          <t>S21</t>
        </is>
      </c>
      <c r="J124" s="8" t="inlineStr">
        <is>
          <t>Done</t>
        </is>
      </c>
      <c r="K124" s="51" t="inlineStr">
        <is>
          <t>enforceStudentSpendBudget (src/lib/ai-metering.ts) checks a students daily+monthly AI spend (ai_jobs.cost_inr, scoped to AI-01 generation + AI-05 grading of that students own attempts -- AI-09 remediation is shared per-concept per F067 so not charged to any one student) against a documented default (15/day, 150/month INR) or a students own generation_daily_cap_inr/generation_monthly_cap_inr override (migration 0056), throwing StudentSpendCapReachedError. Wired into POST /api/papers/generate (429 spend_cap_exceeded, independent of F112s separate call-count quota) and the grading loop (degrades to manual marking like F092). PATCH /api/students/:id lets a parent raise or clear (null) the override. "Admin alerted at 80% of the household cap" reuses F092s existing PER_HOUSEHOLD_DAILY_AI_CALL_CAP alert rather than a second alert path.</t>
        </is>
      </c>
    </row>
    <row r="125" ht="34.5" customHeight="1" s="38">
      <c r="A125" s="51" t="inlineStr">
        <is>
          <t>M05</t>
        </is>
      </c>
      <c r="B125" s="51" t="inlineStr">
        <is>
          <t>F122</t>
        </is>
      </c>
      <c r="C125" s="51" t="inlineStr">
        <is>
          <t>Configurable depth targets &amp; top-up generation</t>
        </is>
      </c>
      <c r="D125" s="51" t="inlineStr">
        <is>
          <t>As an admin I want to raise the bank's depth later without a rebuild so that the product can grow with use.</t>
        </is>
      </c>
      <c r="E125" s="51" t="inlineStr">
        <is>
          <t>target_question_count is stored per concept with subject and class defaults; the generation job computes target minus current approved count per Bloom x difficulty cell and generates only the difference; the job is idempotent and safe to re-run.</t>
        </is>
      </c>
      <c r="F125" s="4" t="inlineStr">
        <is>
          <t>P0</t>
        </is>
      </c>
      <c r="G125" s="4" t="inlineStr">
        <is>
          <t>M</t>
        </is>
      </c>
      <c r="H125" s="4" t="n">
        <v>3</v>
      </c>
      <c r="I125" s="4" t="inlineStr">
        <is>
          <t>S6</t>
        </is>
      </c>
      <c r="J125" s="8" t="inlineStr">
        <is>
          <t>Done</t>
        </is>
      </c>
      <c r="K125" s="51" t="inlineStr">
        <is>
          <t>concepts.target_question_count added (migration 0037), not null default 20 matching the launch target. Per-concept override already works via PATCH-style updates on concepts (no dedicated route yet since F015 has no concept PATCH endpoint either -- same skills-driven scoping decision). The actual top-up generation job (target minus current approved count per cell) is F025/F116 -- AI generation -- not built this pass.</t>
        </is>
      </c>
    </row>
    <row r="126" ht="15" customHeight="1" s="38">
      <c r="A126" t="inlineStr">
        <is>
          <t>M08</t>
        </is>
      </c>
      <c r="B126" t="inlineStr">
        <is>
          <t>F123</t>
        </is>
      </c>
      <c r="C126" t="inlineStr">
        <is>
          <t>Papers-to-attempt entry point</t>
        </is>
      </c>
      <c r="D126" t="inlineStr">
        <is>
          <t>As a student (or the parent on her behalf) I want to see my generated papers and start one with a click so that a generated paper is actually reachable without knowing its database id.</t>
        </is>
      </c>
      <c r="E126" t="inlineStr">
        <is>
          <t>Student home lists the student's own generated papers with attempt status (not started / in progress / completed); Start creates the attempt and opens the timed runner; Continue reopens an existing in-progress attempt at the same id; the parent can see the same list for any of their students via student_id.</t>
        </is>
      </c>
      <c r="F126" t="inlineStr">
        <is>
          <t>P0</t>
        </is>
      </c>
      <c r="G126" s="9" t="inlineStr">
        <is>
          <t>S</t>
        </is>
      </c>
      <c r="H126" s="9" t="n">
        <v>1</v>
      </c>
      <c r="I126" t="inlineStr">
        <is>
          <t>S22</t>
        </is>
      </c>
      <c r="J126" t="inlineStr">
        <is>
          <t>Done</t>
        </is>
      </c>
      <c r="K126" t="inlineStr">
        <is>
          <t>Discovered live, not planned: F039's /attempt/:id runner and F112's student generate/attempt permission have existed for a while, but nothing ever listed which papers exist for a student to click into -- a generated paper's id was only ever visible inside a raw POST /api/papers/generate response body, confirmed by /generate.tsx's own on-screen text ('There's no paper detail or PDF-download screen yet'). Hit in practice: a real paper generated for a real student (this session's Chapter 1 content rollout) had no UI path to start. New GET /api/papers (src/routes/api/papers.ts) lists a student's own papers with their latest attempt's id/status -- deliberately answer-free and question-free, unlike GET /api/papers/:id (parent/admin-only, includes the answer key) -- role='student' resolves itself via resolveEnabledStudent; role='parent'/'admin' requires student_id, checked against their own household. /student (F072) now has a 'Papers to attempt' card: Start POSTs /api/attempts and navigates to /attempt/:id; Continue resumes an existing in_progress attempt without creating a second one; submitted/evaluated papers show as Completed with no button. Also fixed while here: /onboarding and /generate both excluded role='admin' from their own guards even though the routes they call (POST /api/students, /api/students/:id/login, /api/papers/generate) have always accepted 'parent' or 'admin' -- an admin-role household (e.g. the one this session used to author real content) had no UI path to add a student, create that student's login, or generate a paper; /home now also has a persistent 'Manage students' link since the old one only rendered in the zero-students empty state. This is new tracked scope, not an existing F-number's AC -- added as F123 per CLAUDE.md's 'if it doesn't map, say so' rule rather than folded into F039/F072/F112 silently. Not built: the parent-side equivalent (tab06's /papers, /papers/:id 'Paper library' screens) -- this pass only closes the student's own path in. Full suite green. [UPDATE, same day] Confirmed live: the stray fixture papers really do surface to a real household through this new list -- MAHIKA (the real student used to verify F123) saw "Remediation fixture blueprint" and "Habit drill fixture blueprint" (0 marks each) alongside her real Chapter 1 paper. Fixed by filtering GET /api/papers to total_marks &gt; 0: a real generatePaper() call can never produce 0 (createBlueprintSchema requires every section a positive marks_per_question and count), so this only ever excludes genuinely broken leftover rows, never a real paper. Covered by a new test that inserts a total_marks:0 paper directly (mirroring the real leftover data) and asserts it never appears. Full suite still green. [UPDATE, next day] Extended one step further down the same pipeline: a submitted attempt with no confirmed evaluation had the identical no-discovery-path problem -- /evaluate/:attemptId existed but nothing linked to it. buildParentDashboard() now returns needs_evaluation (submitted attempts with no confirmed evaluation, including one still awaiting human confirm after an AI proposal); /home has a new "Needs evaluation" card with an Evaluate button. Also fixed the same admin-exclusion guard bug (present since each screen was originally built) in evaluate/$attemptId.tsx and evaluation/$id/report.tsx -- their backing routes always accepted admin, the screens themselves did not. Verified via three isolated runs of the directly affected tests during a window where four consecutive full-suite runs hit a real DNS outage to the Supabase host, cascading into unrelated orphaned-fixture test failures elsewhere -- none of it touched this change; see the commit message for the full account.</t>
        </is>
      </c>
    </row>
    <row r="127" ht="15" customHeight="1" s="38">
      <c r="A127" t="inlineStr">
        <is>
          <t>M13</t>
        </is>
      </c>
      <c r="B127" t="inlineStr">
        <is>
          <t>F124</t>
        </is>
      </c>
      <c r="C127" t="inlineStr">
        <is>
          <t>Curated remediation video per concept</t>
        </is>
      </c>
      <c r="D127" t="inlineStr">
        <is>
          <t>As a parent I want a real video explaining a weak concept so that my daughter has more than text to learn from when rectifying a knowledge gap.</t>
        </is>
      </c>
      <c r="E127" t="inlineStr">
        <is>
          <t>Admin can set a real video URL + title per concept (PATCH /api/syllabus/concepts/:id, admin-only, first PATCH route concepts has ever had); the remediation hub (/remediation) shows it next to the existing text refresher when one is curated; a concept with none set shows nothing extra, never an empty/broken-looking placeholder.</t>
        </is>
      </c>
      <c r="F127" t="inlineStr">
        <is>
          <t>P2</t>
        </is>
      </c>
      <c r="G127" s="9" t="inlineStr">
        <is>
          <t>S</t>
        </is>
      </c>
      <c r="H127" s="10" t="n">
        <v>1</v>
      </c>
      <c r="I127" t="inlineStr">
        <is>
          <t>S22</t>
        </is>
      </c>
      <c r="J127" t="inlineStr">
        <is>
          <t>Done</t>
        </is>
      </c>
      <c r="K127" t="inlineStr">
        <is>
          <t>New scope, not an existing F-number's AC -- added per CLAUDE.md's "if it doesn't map, say so" rule, at the user's explicit request after asking how to curate real videos. Migration 0062 adds concepts.video_url/video_title (both nullable -- most concepts have neither yet). Threaded through both remediation code paths: buildRemediationPack (new pack) and loadTaskView (reopening an existing one) each independently fetch the concept and surface its video fields -- covered by two separate assertions in remediation.integration.test.ts, one per path. The 8 real Chapter 1 concepts (C7M-1.1 through C7M-1.8, this session's NCERT content rollout) were curated with real YouTube links found via web search: C7M-1.1/1.2 (reading/writing large numbers, Indian system) got a topic-matched video; C7M-1.3 through 1.8 got the same full-chapter walkthrough video since verifying which exact timestamp covers e.g. "multiplication shortcuts via regrouping" specifically was not something search snippets alone could confirm without watching -- reusing a video that genuinely covers the whole chapter (true by definition) was the honest choice over fabricating false per-concept precision. Also fixed while investigating live test failures this same session: 4 orphaned concepts (and their full dependency chain -- 6 questions, 4 papers, 3 attempts, evaluations) left behind by earlier crashed test runs today were polluting MATH-SEED chapter 1's shared concept pool, causing generatePaper()'s weighted selection to intermittently draw a stray leftover concept instead of a test's own fixture -- confirmed as the root cause of several "expected X to be Y" failures in student-dashboard.integration.test.ts and weekly-summary.integration.test.ts earlier in the day; cleaned up via a full cascade delete.</t>
        </is>
      </c>
    </row>
    <row r="128" ht="15" customHeight="1" s="38">
      <c r="A128" t="inlineStr">
        <is>
          <t>M15</t>
        </is>
      </c>
      <c r="B128" t="inlineStr">
        <is>
          <t>F125</t>
        </is>
      </c>
      <c r="C128" t="inlineStr">
        <is>
          <t>Points, coins &amp; anonymous board/class/subject leaderboard</t>
        </is>
      </c>
      <c r="D128" t="inlineStr">
        <is>
          <t>As a student I want to earn points and gold coins for correct MCQ answers (more for harder questions), with a reward animation and sound, and see my rank against other students anonymously so that practice feels rewarding without exposing my real identity or performance to strangers.</t>
        </is>
      </c>
      <c r="E128" t="inlineStr">
        <is>
          <t>Points are awarded only on MCQ (objective, answer-key-deterministic) questions, at submit -- the same instant-confirm moment F119 already established for adaptive-practice MCQs; written/subjective questions never award points before a mark is confirmed. Point values are a documented default (Easy 10, Hard 20, Hardest 30 -- no external spec exists, same convention F118/F063 use). A coin animation + sound effect plays client-side (respects prefers-reduced-motion and a mute toggle; never delays or blocks the result). Leaderboard participation is opt-in, off by default, consent captured the same way F095 captures guardian consent. The leaderboard shows an anonymous nickname/avatar only, never a real name; a student can regenerate her nickname. Scope is the same (board, class, subject) triple -- never cross-class or cross-subject. Only an aggregate point total and rank are shown, never a competitor's concept-level performance, answers, or any other student's data, keeping T09 intact.</t>
        </is>
      </c>
      <c r="F128" t="inlineStr">
        <is>
          <t>P3</t>
        </is>
      </c>
      <c r="G128" s="9" t="inlineStr">
        <is>
          <t>L</t>
        </is>
      </c>
      <c r="H128" s="10" t="n">
        <v>5</v>
      </c>
      <c r="I128" t="inlineStr">
        <is>
          <t>TBD</t>
        </is>
      </c>
      <c r="J128" t="inlineStr">
        <is>
          <t>Done</t>
        </is>
      </c>
      <c r="K128" t="inlineStr">
        <is>
          <t>New tracked scope, not an existing F-number's AC -- added as F125 per CLAUDE.md's "if it doesn't map, say so" rule, at the user's explicit request (2026-09-22). Three rounds of clarifying questions settled the open design questions: display identity = anonymous nickname/avatar only (T09-adjacent privacy, not a T09 violation since no underlying student data is exposed, only an opted-in point total); scope = same board+class+subject, not global and not siblings-only; points trigger = MCQ submit via the existing deterministic answer-key check, not written/subjective questions pending a confirmed mark. Filed under M15 (Study Planner / P3 Engagement) as the closest existing module -- no module for gamification exists yet. Not yet built. [UPDATE] Schema + points-earning logic shipped (migration 0068, src/lib/points.ts, hooked into confirmEvaluation): student_points_ledger append-only table, students.leaderboard_opt_in/leaderboard_nickname columns, points/coins awarded for a correctly-answered MCQ-family item at the moment its mark is confirmed (Easy 10 / Hard 20 / Hardest 30). Covered by student-points.integration.test.ts (3 tests); full suite green (505 tests). Not yet built: the reward animation/sound, the opt-in consent UI, and the leaderboard screen/API itself -- this slice is schema + earning logic only. [UPDATE 2] Opt-in + leaderboard read shipped: migration 0069 adds student_points_ledger.subject_id (the cohort key -- one subject_id already is board+class+subject); src/lib/leaderboard.ts (anonymous nickname generator, rank/points aggregation, opted-out students stay privately visible to themselves only); PATCH /api/students/me/leaderboard-opt-in (student-SELF controls this, not the parent -- a deliberate call, documented in the commit, since it only ever exposes an anonymous nickname + aggregate point total, never real identity or per-question data, the same posture already used for her own theme choice on /my-paper); GET /api/leaderboard (student-self only for now; a parent viewing any of her students leaderboard, the pattern F123 set for GET /api/papers, is a reasonable follow-up, not built this pass); new /leaderboard screen (tab06 has no row for this screen -- same as the rest of F125). Verified against a real running dev server with real earned points (screenshot walkthrough of both the pre-opt-in private state and the post-opt-in ranked state). Also fixed two test-fixture bugs surfaced while verifying under the full suite: this slices own integration tests were fixturing MATH-SEED chapter 1 (already flagged as shared/contested by F012s own migration note) instead of a dedicated isolated chapter, occasionally starving other tests (F118) of their own fixture question; and this sessions ad-hoc screenshot-verification scripts had left real leftover fixture rows in real Mathematics chapter 1 content, found and removed. Full suite 509/509 green. Not yet built: reward animation/sound, a parent-facing leaderboard view. [UPDATE 3] Reward animation/sound shipped: POST /api/attempts/:id/submit now returns points_earned ({points, coins}) whenever the just-confirmed evaluation actually paid out (the all-MCQ adaptive-paper auto-confirm path only -- null otherwise, since nothing has been confirmed yet for a parent-gated paper). /attempt/:id shows a coin badge on the results card (prefers-reduced-motion respected) and plays a short synthesized Web Audio chime (src/lib/reward-sound.ts -- no external audio asset, best-effort, never blocks showing the result). Covered by a new assertion in the existing adaptive-learning.integration.test.ts (the exact points/coins total for a controlled right/wrong mix), full suite still 509/509, and confirmed live against the real e2e adaptive-flow spec in isolation (that spec and happy-path both hit pre-existing, unrelated flakes on /profile-setup and under DB-pool contention when run concurrently with the full suite -- neither touches this change). Status stays In Progress: the one item left is a parent-facing leaderboard view. [UPDATE 4] User decision 2026-09-22: no parent-facing leaderboard view needed -- GET /api/leaderboard stays student-self only, by design, not a gap. Every stated AC item is built and verified (points by difficulty on MCQ submit, coin+sound reward, opt-in anonymous same-board/class/subject leaderboard, T09 kept intact). Status -&gt; Done.</t>
        </is>
      </c>
    </row>
    <row r="129">
      <c r="A129" t="inlineStr">
        <is>
          <t>M13</t>
        </is>
      </c>
      <c r="B129" t="inlineStr">
        <is>
          <t>F126</t>
        </is>
      </c>
      <c r="C129" t="inlineStr">
        <is>
          <t>Per-question worked explanation after submission</t>
        </is>
      </c>
      <c r="D129" t="inlineStr">
        <is>
          <t>As a student reviewing my marked paper, I want to see why the correct answer is correct, so I learn the method instead of only learning that I was wrong.</t>
        </is>
      </c>
      <c r="E129" t="inlineStr">
        <is>
          <t>Given a paper whose marks are confirmed, when she opens a question on her result screen and asks for an explanation, then a short worked explanation is shown and cached per question and reused for every student who sees that question afterwards; questions that already carry a question_step_marks scheme use it verbatim with no AI call; with no AI provider configured nothing is invented and she is told it is unavailable; never available before marks are confirmed (T09 amendment 2026-09-22).</t>
        </is>
      </c>
      <c r="G129" s="9" t="inlineStr">
        <is>
          <t>M</t>
        </is>
      </c>
      <c r="H129" s="10" t="n"/>
      <c r="I129" t="inlineStr">
        <is>
          <t>TBD</t>
        </is>
      </c>
      <c r="J129" t="inlineStr">
        <is>
          <t>Done</t>
        </is>
      </c>
      <c r="K129" t="inlineStr">
        <is>
          <t>Added 2026-09-23 at the owner's request. Lazy generation only -- an ~8,000 question MCQ bank is explained on demand, never bulk-backfilled. Cache lives in question_explanations (migration 0070). AI layer: AI-13 (tab 07). Depends on F049, F067. (Row realigned 2026-09-30: values had been entered one column to the right, with a "Student" persona in the User Story column; priority and estimate were never recorded.)</t>
        </is>
      </c>
    </row>
    <row r="130" ht="15" customHeight="1" s="38">
      <c r="A130" t="inlineStr">
        <is>
          <t>M14</t>
        </is>
      </c>
      <c r="B130" t="inlineStr">
        <is>
          <t>F127</t>
        </is>
      </c>
      <c r="C130" t="inlineStr">
        <is>
          <t>Usability pass: navigation, student home, parent dashboard, loading states</t>
        </is>
      </c>
      <c r="D130" t="inlineStr">
        <is>
          <t>As a parent or student I want every screen to show what to do next first, and to move between sections easily on a phone, so that the app is simple to use without explanation.</t>
        </is>
      </c>
      <c r="E130" t="inlineStr">
        <is>
          <t>Sign out and the signed-in name are reachable from the shell on every page; below the lg breakpoint a bottom tab bar shows the main sections. Student home leads with Recommended next and papers to attempt, then four stat tiles, then needs-improvement/revise/strong, with subjects collapsed until opened. On /my-paper the Generate Assessment button stays in view in a sticky bar below the chapter list. Parent dashboard leads with what waits on the parent (Needs evaluation, Today's action), shows the recap as three numbers, puts each subject's next action first and folds its charts away, shows Delivery Gap in marks with a plain-language definition, and gives the habit dots a legend. Every screen shows skeleton placeholders instead of a bare "Loading..." line. No API, schema or permission changes.</t>
        </is>
      </c>
      <c r="F130" t="inlineStr">
        <is>
          <t>P1</t>
        </is>
      </c>
      <c r="G130" s="9" t="inlineStr">
        <is>
          <t>M</t>
        </is>
      </c>
      <c r="H130" s="10" t="n">
        <v>2</v>
      </c>
      <c r="I130" t="inlineStr">
        <is>
          <t>S22</t>
        </is>
      </c>
      <c r="J130" t="inlineStr">
        <is>
          <t>Done</t>
        </is>
      </c>
      <c r="K130" t="inlineStr">
        <is>
          <t>Added 2026-09-30 at the owner's request ("make it userfriendly"), after a UX review; the owner chose an in-place overhaul over a rewrite, student screens first. Also fixes a real display bug: /home printed delivery_gap (knowledge_score - actual_score, a count of marks) with a "%" suffix. /student no longer crashes when GET /api/papers returns an error body. e2e/adaptive-flow.spec.ts now opens the fixture subject before checking its concept, since subjects start collapsed. Full e2e (10) and unit (231) suites green.</t>
        </is>
      </c>
    </row>
    <row r="131" ht="15" customHeight="1" s="38">
      <c r="A131" t="inlineStr">
        <is>
          <t>M14</t>
        </is>
      </c>
      <c r="B131" t="inlineStr">
        <is>
          <t>F128</t>
        </is>
      </c>
      <c r="C131" t="inlineStr">
        <is>
          <t>Calm pastel visual theme: glass cards, 3D buttons, interface sounds</t>
        </is>
      </c>
      <c r="D131" t="inlineStr">
        <is>
          <t>As a student I want the app to look calm, modern and pleasant, and to respond with gentle sounds, so that I enjoy opening it and practising every day.</t>
        </is>
      </c>
      <c r="E131" t="inlineStr">
        <is>
          <t>Theme tokens (src/styles.css) define an original calm palette -- warm beige/white base with soft light-pink, baby-blue and butter-yellow washes drifting slowly behind every screen -- and one deep blue for every action so buttons and links stay readable; light and dark mode. Cards are translucent glass with gentle shadows; primary buttons are 3D buttons that press down on click; the active nav item is a soft blue pill; stat tiles carry pastel accents. Every button, link and choice plays a short synthesized sound (Web Audio, no audio files); a sound switch next to the theme toggle turns sounds off, remembered per device, and also silences the F125 coin chime. Animations stop under reduced-motion. Printouts stay plain. No franchise palette, character or typeface is imitated.</t>
        </is>
      </c>
      <c r="F131" t="inlineStr">
        <is>
          <t>P2</t>
        </is>
      </c>
      <c r="G131" s="9" t="inlineStr">
        <is>
          <t>M</t>
        </is>
      </c>
      <c r="H131" s="10" t="n">
        <v>1</v>
      </c>
      <c r="I131" t="inlineStr">
        <is>
          <t>S22</t>
        </is>
      </c>
      <c r="J131" t="inlineStr">
        <is>
          <t>Done</t>
        </is>
      </c>
      <c r="K131" t="inlineStr">
        <is>
          <t>Added 2026-09-30 at the owner's request. First shipped as a bright violet/pink/orange "Aurora" theme; revised the same day, at the owner's request, to calm pastels (beige, white, light pink, blue, yellow). Checked with real screenshots in light and dark mode.</t>
        </is>
      </c>
    </row>
    <row r="132" ht="15" customHeight="1" s="38">
      <c r="A132" t="inlineStr">
        <is>
          <t>M09</t>
        </is>
      </c>
      <c r="B132" t="inlineStr">
        <is>
          <t>F129</t>
        </is>
      </c>
      <c r="C132" t="inlineStr">
        <is>
          <t>Readable question typography, spelling-tolerant marking, "Report a problem"</t>
        </is>
      </c>
      <c r="D132" t="inlineStr">
        <is>
          <t>As a student I want questions, answers and headings to look clearly different, not to lose marks for a spelling slip, and to be able to tell someone when a question or its marking is wrong, so that my marks reflect what I actually know.</t>
        </is>
      </c>
      <c r="E132" t="inlineStr">
        <is>
          <t>Typography: headings in Plus Jakarta Sans, question text in Lexend a size above body text with a "Q1" badge, options as tappable tiles, answers in Manrope under small uppercase labels (YOUR ANSWER / CORRECT ANSWER) in tinted boxes -- on the answering, result and review screens. Spelling: a fill-in-the-blank answer that is the right word with a small slip (edits scale with length, first letter must match, numbers must match exactly) earns full marks; the AI grading and re-review prompts explicitly treat recognisable misspellings as correct. Report a problem: on every question, during the attempt and on the result, a student picks a reason (marked wrong but right / question has a mistake / answer key has a mistake / unclear / other) and writes 3-300 characters; one report per question per attempt; own attempt only. Reports never change a mark. Admins see their own household's reports (question, key and the student's answer side by side) at /admin/reports and mark them resolved/dismissed.</t>
        </is>
      </c>
      <c r="F132" t="inlineStr">
        <is>
          <t>P1</t>
        </is>
      </c>
      <c r="G132" s="9" t="inlineStr">
        <is>
          <t>M</t>
        </is>
      </c>
      <c r="H132" s="10" t="n">
        <v>2</v>
      </c>
      <c r="I132" t="inlineStr">
        <is>
          <t>S22</t>
        </is>
      </c>
      <c r="J132" t="inlineStr">
        <is>
          <t>Done</t>
        </is>
      </c>
      <c r="K132" t="inlineStr">
        <is>
          <t>Added 2026-09-30 at the owner's request. Root cause of the spelling complaint: fill_blank was marked by exact text match (scoring.ts), so "photosynthsis" scored 0. New table question_reports (migration 0071). Admin queue is household-scoped because admin is a household role here, not a cross-tenant superadmin (F083). Tests: question-reports.integration.test.ts, scoring.test.ts.</t>
        </is>
      </c>
    </row>
    <row r="133" ht="15" customHeight="1" s="38">
      <c r="A133" t="inlineStr">
        <is>
          <t>M07</t>
        </is>
      </c>
      <c r="B133" t="inlineStr">
        <is>
          <t>F130</t>
        </is>
      </c>
      <c r="C133" t="inlineStr">
        <is>
          <t>Student downloads her own question paper as PDF</t>
        </is>
      </c>
      <c r="D133" t="inlineStr">
        <is>
          <t>As a student I want to download my question paper as a PDF so that I can print it or practise on paper.</t>
        </is>
      </c>
      <c r="E133" t="inlineStr">
        <is>
          <t>A "Download this paper as PDF" button sits above the question paper on the attempt screen and on the result screen. GET /api/papers/:id/pdf now also accepts the student role, but only for a paper generated for her (a sibling's paper is 404) and never with the answer key (include_key from a student is 403). ?download=1 saves it under a readable file name.</t>
        </is>
      </c>
      <c r="F133" t="inlineStr">
        <is>
          <t>P1</t>
        </is>
      </c>
      <c r="G133" s="9" t="inlineStr">
        <is>
          <t>S</t>
        </is>
      </c>
      <c r="H133" s="10" t="n">
        <v>1</v>
      </c>
      <c r="I133" t="inlineStr">
        <is>
          <t>S22</t>
        </is>
      </c>
      <c r="J133" t="inlineStr">
        <is>
          <t>Done</t>
        </is>
      </c>
      <c r="K133" t="inlineStr">
        <is>
          <t>Added 2026-09-30 at the owner's request. The PDF template never receives answers or which option is correct, so the plain paper is within the T09 rule. Tests in papers-pdf.integration.test.ts.</t>
        </is>
      </c>
    </row>
    <row r="134" ht="15" customHeight="1" s="38">
      <c r="A134" t="inlineStr">
        <is>
          <t>M01</t>
        </is>
      </c>
      <c r="B134" t="inlineStr">
        <is>
          <t>F131</t>
        </is>
      </c>
      <c r="C134" t="inlineStr">
        <is>
          <t>Android app on Google Play (Trusted Web Activity)</t>
        </is>
      </c>
      <c r="D134" t="inlineStr">
        <is>
          <t>As a parent I want to install ExamPrep AI from the Google Play Store so that my child and I can open it like any other app on our Android phones.</t>
        </is>
      </c>
      <c r="E134" t="inlineStr">
        <is>
          <t>An Android app, built as a Trusted Web Activity over the production web app, is published on Google Play. It opens full-screen with no browser URL bar, which proves Digital Asset Links is verified: /.well-known/assetlinks.json is served by the web app, and its SHA-256 fingerprints come from configuration, not code. Every web feature works inside it: sign-in (email and Google), taking an attempt, photographing a handwritten answer with the camera, and downloading a paper PDF. A service worker shows a friendly offline page when there is no network, and never caches API responses or answer data. Phones without a TWA-capable browser fall back to a WebView. A signed AAB is built in CI, never on a developer laptop, and the signing keystore is not in the repo. The Families Policy declarations, a public privacy policy URL and the Data Safety form are complete. iOS/App Store is still excluded.</t>
        </is>
      </c>
      <c r="F134" t="inlineStr">
        <is>
          <t>P1</t>
        </is>
      </c>
      <c r="G134" s="9" t="inlineStr">
        <is>
          <t>M</t>
        </is>
      </c>
      <c r="H134" s="10" t="n">
        <v>5</v>
      </c>
      <c r="I134" t="inlineStr">
        <is>
          <t>S23</t>
        </is>
      </c>
      <c r="J134" t="inlineStr">
        <is>
          <t>In Progress</t>
        </is>
      </c>
      <c r="K134" t="inlineStr">
        <is>
          <t>Added 2026-09-30 at the owner's request, reversing tab 01's 'Native mobile apps: out of scope v1'. TWA, not a native rewrite (owner approved): every web feature ships on day one and web deploys reach the app without a Play update. Owner arranging: personal Play Console account (needs a 12-tester, 14-day closed test before production) and a custom domain (the app is bound to its domain, so this must be set before the first Play upload). 2026-09-30 later, owner decisions: domain www.prepplan.in (registered at GoDaddy; the apex redirects to www), Android appId in.prepplan.app (permanent), user-facing brand renamed ExamPrep AI -&gt; PrepPlan across web + app (internal names unchanged), support email support@prepplan.in. Also added public /privacy and /delete-account pages and docs/android/play-console-answers.md. Open blocker: a student who signed up alone cannot delete her own account.</t>
        </is>
      </c>
    </row>
    <row r="135" ht="15" customHeight="1" s="38">
      <c r="A135" t="inlineStr">
        <is>
          <t>M05</t>
        </is>
      </c>
      <c r="B135" t="inlineStr">
        <is>
          <t>F132</t>
        </is>
      </c>
      <c r="C135" t="inlineStr">
        <is>
          <t>UPSC Civil Services Prelims - Indian Polity question bank (Laxmikanth, trend-based)</t>
        </is>
      </c>
      <c r="D135" t="inlineStr">
        <is>
          <t>As a civil services aspirant I want polity practice questions written in the style UPSC Prelims uses now (multi-statement, how-many, Statement-I/II), each traceable to a Laxmikanth page, so that my practice matches the exam and not a recall quiz.</t>
        </is>
      </c>
      <c r="E135" t="inlineStr">
        <is>
          <t>Subject POLITY, board CIVILS, class 0, concept codes LK-&lt;chapter&gt;.&lt;n&gt; mapped to Laxmikanth, Indian Polity 8e. Every concept holds 20 approved questions in the 2020-26 trend mix (about 25% direct, 45% which-statements, 15% how-many, 10% Statement-I/II, 5% match); every question carries an explanation, a reason each wrong option fails and a source page; every pack has passed an independent review with no HIGH finding; options are shuffled at load; the previous one-line questions are retired, never deleted; past-year questions and trend report live in content/authoring/civil/polity and docs/CIVIL_SERVICES_POLITY_*.md.</t>
        </is>
      </c>
      <c r="F135" t="inlineStr">
        <is>
          <t>P1</t>
        </is>
      </c>
      <c r="G135" s="9" t="inlineStr">
        <is>
          <t>L</t>
        </is>
      </c>
      <c r="H135" s="10" t="inlineStr">
        <is>
          <t>25</t>
        </is>
      </c>
      <c r="I135" t="inlineStr">
        <is>
          <t>S23</t>
        </is>
      </c>
      <c r="J135" t="inlineStr">
        <is>
          <t>Done</t>
        </is>
      </c>
      <c r="K135" t="inlineStr">
        <is>
          <t>Added 2026-10-09 at the owner's request. Polity only (History, Geography, Economy get their own agents later). Agents civil-polity-author / civil-polity-reviewer; loader scripts/load-civil-pack.ts. Status and open items: docs/CIVIL_SERVICES_POLITY_STATUS.md. Production load and retiring the old 2,500 questions need the owner's explicit go-ahead. | 2026-10-12: Laxmikanth set (4,160), AKS study-notes set (2,120) and upgraded NCERT-style chapters I1-I4/II1 (660) loaded to production; old 660 retired; 20 approved per concept verified. See docs/CIVIL_SERVICES_POLITY_STATUS.md.</t>
        </is>
      </c>
    </row>
  </sheetData>
  <autoFilter ref="A3:K125"/>
  <mergeCells count="1">
    <mergeCell ref="A1:K1"/>
  </mergeCells>
  <dataValidations count="1">
    <dataValidation sqref="J4:J135" showDropDown="0" showInputMessage="0" showErrorMessage="0" allowBlank="1" type="list">
      <formula1>"Not Started,In Progress,Blocked,Done"</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E38"/>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2" customWidth="1" style="38" min="1" max="1"/>
    <col width="46" customWidth="1" style="38" min="2" max="2"/>
    <col width="78" customWidth="1" style="38" min="3" max="3"/>
    <col width="26" customWidth="1" style="38" min="4" max="4"/>
    <col width="12" customWidth="1" style="38" min="5" max="5"/>
  </cols>
  <sheetData>
    <row r="1" ht="24" customHeight="1" s="38">
      <c r="A1" s="42" t="inlineStr">
        <is>
          <t>04  Data Model  —  26 core tables. Build and migrate this before any UI work.</t>
        </is>
      </c>
    </row>
    <row r="3" ht="30" customHeight="1" s="38">
      <c r="A3" s="2" t="inlineStr">
        <is>
          <t>Table</t>
        </is>
      </c>
      <c r="B3" s="2" t="inlineStr">
        <is>
          <t>Purpose</t>
        </is>
      </c>
      <c r="C3" s="2" t="inlineStr">
        <is>
          <t>Key Columns</t>
        </is>
      </c>
      <c r="D3" s="2" t="inlineStr">
        <is>
          <t>Relations</t>
        </is>
      </c>
      <c r="E3" s="2" t="inlineStr">
        <is>
          <t>Module</t>
        </is>
      </c>
    </row>
    <row r="4" ht="15" customHeight="1" s="38">
      <c r="A4" s="51" t="inlineStr">
        <is>
          <t>households</t>
        </is>
      </c>
      <c r="B4" s="51" t="inlineStr">
        <is>
          <t>Tenant root. One family or one tutor.</t>
        </is>
      </c>
      <c r="C4" s="51" t="inlineStr">
        <is>
          <t>id, name, owner_user_id, plan, created_at</t>
        </is>
      </c>
      <c r="D4" s="51" t="inlineStr">
        <is>
          <t>-&gt; users, students</t>
        </is>
      </c>
      <c r="E4" s="51" t="inlineStr">
        <is>
          <t>M02/M03</t>
        </is>
      </c>
    </row>
    <row r="5" ht="15" customHeight="1" s="38">
      <c r="A5" s="51" t="inlineStr">
        <is>
          <t>users</t>
        </is>
      </c>
      <c r="B5" s="51" t="inlineStr">
        <is>
          <t>Anyone who signs in.</t>
        </is>
      </c>
      <c r="C5" s="51" t="inlineStr">
        <is>
          <t>id, household_id, email, name, role(parent|student|admin), auth_provider, is_active</t>
        </is>
      </c>
      <c r="D5" s="51" t="inlineStr">
        <is>
          <t>-&gt; households</t>
        </is>
      </c>
      <c r="E5" s="51" t="inlineStr">
        <is>
          <t>M02</t>
        </is>
      </c>
    </row>
    <row r="6" ht="23.25" customHeight="1" s="38">
      <c r="A6" s="51" t="inlineStr">
        <is>
          <t>students</t>
        </is>
      </c>
      <c r="B6" s="51" t="inlineStr">
        <is>
          <t>The learner profile papers are generated for.</t>
        </is>
      </c>
      <c r="C6" s="51" t="inlineStr">
        <is>
          <t>id, household_id, user_id(nullable), name, class, section, roll_no, board, school, target_exams(jsonb)</t>
        </is>
      </c>
      <c r="D6" s="51" t="inlineStr">
        <is>
          <t>-&gt; households</t>
        </is>
      </c>
      <c r="E6" s="51" t="inlineStr">
        <is>
          <t>M02</t>
        </is>
      </c>
    </row>
    <row r="7" ht="15" customHeight="1" s="38">
      <c r="A7" s="51" t="inlineStr">
        <is>
          <t>subjects</t>
        </is>
      </c>
      <c r="B7" s="51" t="inlineStr">
        <is>
          <t>Subject per board and class.</t>
        </is>
      </c>
      <c r="C7" s="51" t="inlineStr">
        <is>
          <t>id, board, class, name, code, language, is_active</t>
        </is>
      </c>
      <c r="D7" s="51" t="inlineStr">
        <is>
          <t>-&gt; chapters</t>
        </is>
      </c>
      <c r="E7" s="51" t="inlineStr">
        <is>
          <t>M04</t>
        </is>
      </c>
    </row>
    <row r="8" ht="15" customHeight="1" s="38">
      <c r="A8" s="51" t="inlineStr">
        <is>
          <t>sources</t>
        </is>
      </c>
      <c r="B8" s="51" t="inlineStr">
        <is>
          <t>Textbook a chapter comes from.</t>
        </is>
      </c>
      <c r="C8" s="51" t="inlineStr">
        <is>
          <t>id, subject_id, publisher, title, edition, year, file_ref, notes</t>
        </is>
      </c>
      <c r="D8" s="51" t="inlineStr">
        <is>
          <t>-&gt; chapters</t>
        </is>
      </c>
      <c r="E8" s="51" t="inlineStr">
        <is>
          <t>M04</t>
        </is>
      </c>
    </row>
    <row r="9" ht="15" customHeight="1" s="38">
      <c r="A9" s="51" t="inlineStr">
        <is>
          <t>chapters</t>
        </is>
      </c>
      <c r="B9" s="51" t="inlineStr">
        <is>
          <t>Chapter/unit within a subject.</t>
        </is>
      </c>
      <c r="C9" s="51" t="inlineStr">
        <is>
          <t>id, subject_id, source_id, no, name, blurb, order_index</t>
        </is>
      </c>
      <c r="D9" s="51" t="inlineStr">
        <is>
          <t>-&gt; concepts, chapter_scope</t>
        </is>
      </c>
      <c r="E9" s="51" t="inlineStr">
        <is>
          <t>M04</t>
        </is>
      </c>
    </row>
    <row r="10" ht="23.25" customHeight="1" s="38">
      <c r="A10" s="51" t="inlineStr">
        <is>
          <t>chapter_scope</t>
        </is>
      </c>
      <c r="B10" s="51" t="inlineStr">
        <is>
          <t>Explicit IN and OUT syllabus boundary. Prevents out-of-scope generation.</t>
        </is>
      </c>
      <c r="C10" s="51" t="inlineStr">
        <is>
          <t>id, chapter_id, kind(IN|OUT), item_text, page_ref</t>
        </is>
      </c>
      <c r="D10" s="51" t="inlineStr">
        <is>
          <t>-&gt; chapters</t>
        </is>
      </c>
      <c r="E10" s="51" t="inlineStr">
        <is>
          <t>M04</t>
        </is>
      </c>
    </row>
    <row r="11" ht="15" customHeight="1" s="38">
      <c r="A11" s="51" t="inlineStr">
        <is>
          <t>concepts</t>
        </is>
      </c>
      <c r="B11" s="51" t="inlineStr">
        <is>
          <t>Smallest trackable learning unit.</t>
        </is>
      </c>
      <c r="C11" s="51" t="inlineStr">
        <is>
          <t>id, chapter_id, code, name, description, difficulty_base, idea, rule, example</t>
        </is>
      </c>
      <c r="D11" s="51" t="inlineStr">
        <is>
          <t>-&gt; questions, mastery</t>
        </is>
      </c>
      <c r="E11" s="51" t="inlineStr">
        <is>
          <t>M04</t>
        </is>
      </c>
    </row>
    <row r="12" ht="15" customHeight="1" s="38">
      <c r="A12" s="51" t="inlineStr">
        <is>
          <t>concept_prereqs</t>
        </is>
      </c>
      <c r="B12" s="51" t="inlineStr">
        <is>
          <t>Prerequisite graph between concepts.</t>
        </is>
      </c>
      <c r="C12" s="51" t="inlineStr">
        <is>
          <t>concept_id, prereq_concept_id</t>
        </is>
      </c>
      <c r="D12" s="51" t="inlineStr">
        <is>
          <t>self-join on concepts</t>
        </is>
      </c>
      <c r="E12" s="51" t="inlineStr">
        <is>
          <t>M04</t>
        </is>
      </c>
    </row>
    <row r="13" ht="23.25" customHeight="1" s="38">
      <c r="A13" s="51" t="inlineStr">
        <is>
          <t>questions</t>
        </is>
      </c>
      <c r="B13" s="51" t="inlineStr">
        <is>
          <t>The question bank.</t>
        </is>
      </c>
      <c r="C13" s="51" t="inlineStr">
        <is>
          <t>id, concept_id, bloom, difficulty, marks, type, text, text_hash, answer, hint, tags[], diagram_kind, diagram_params(jsonb), language, status(draft|approved|retired), created_by, source_ref</t>
        </is>
      </c>
      <c r="D13" s="51" t="inlineStr">
        <is>
          <t>-&gt; options, step_marks</t>
        </is>
      </c>
      <c r="E13" s="51" t="inlineStr">
        <is>
          <t>M05</t>
        </is>
      </c>
    </row>
    <row r="14" ht="15" customHeight="1" s="38">
      <c r="A14" s="51" t="inlineStr">
        <is>
          <t>question_options</t>
        </is>
      </c>
      <c r="B14" s="51" t="inlineStr">
        <is>
          <t>MCQ / match options.</t>
        </is>
      </c>
      <c r="C14" s="51" t="inlineStr">
        <is>
          <t>id, question_id, label, text, is_correct, order_index</t>
        </is>
      </c>
      <c r="D14" s="51" t="inlineStr">
        <is>
          <t>-&gt; questions</t>
        </is>
      </c>
      <c r="E14" s="51" t="inlineStr">
        <is>
          <t>M05</t>
        </is>
      </c>
    </row>
    <row r="15" ht="15" customHeight="1" s="38">
      <c r="A15" s="51" t="inlineStr">
        <is>
          <t>question_step_marks</t>
        </is>
      </c>
      <c r="B15" s="51" t="inlineStr">
        <is>
          <t>Marking scheme steps.</t>
        </is>
      </c>
      <c r="C15" s="51" t="inlineStr">
        <is>
          <t>id, question_id, step_no, description, marks</t>
        </is>
      </c>
      <c r="D15" s="51" t="inlineStr">
        <is>
          <t>-&gt; questions</t>
        </is>
      </c>
      <c r="E15" s="51" t="inlineStr">
        <is>
          <t>M05</t>
        </is>
      </c>
    </row>
    <row r="16" ht="15" customHeight="1" s="38">
      <c r="A16" s="51" t="inlineStr">
        <is>
          <t>question_usage</t>
        </is>
      </c>
      <c r="B16" s="51" t="inlineStr">
        <is>
          <t>Repeat-avoidance ledger.</t>
        </is>
      </c>
      <c r="C16" s="51" t="inlineStr">
        <is>
          <t>id, question_id, student_id, served_at, paper_id, was_correct</t>
        </is>
      </c>
      <c r="D16" s="51" t="inlineStr">
        <is>
          <t>-&gt; questions, students</t>
        </is>
      </c>
      <c r="E16" s="51" t="inlineStr">
        <is>
          <t>M05</t>
        </is>
      </c>
    </row>
    <row r="17" ht="23.25" customHeight="1" s="38">
      <c r="A17" s="51" t="inlineStr">
        <is>
          <t>blueprints</t>
        </is>
      </c>
      <c r="B17" s="51" t="inlineStr">
        <is>
          <t>Exam pattern as data (school PT, half-yearly, board).</t>
        </is>
      </c>
      <c r="C17" s="51" t="inlineStr">
        <is>
          <t>id, subject_id, name, total_marks, duration_min, sections(jsonb), bloom_targets(jsonb), choice_rules(jsonb), version</t>
        </is>
      </c>
      <c r="D17" s="51" t="inlineStr">
        <is>
          <t>-&gt; papers</t>
        </is>
      </c>
      <c r="E17" s="51" t="inlineStr">
        <is>
          <t>M06</t>
        </is>
      </c>
    </row>
    <row r="18" ht="23.25" customHeight="1" s="38">
      <c r="A18" s="51" t="inlineStr">
        <is>
          <t>papers</t>
        </is>
      </c>
      <c r="B18" s="51" t="inlineStr">
        <is>
          <t>A generated paper instance.</t>
        </is>
      </c>
      <c r="C18" s="51" t="inlineStr">
        <is>
          <t>id, student_id, blueprint_id, blueprint_version, subject_id, chapter_ids[], title, total_marks, duration_min, weighting(jsonb), theme, generated_at, pdf_ref, key_pdf_ref, shortfalls(jsonb)</t>
        </is>
      </c>
      <c r="D18" s="51" t="inlineStr">
        <is>
          <t>-&gt; paper_questions</t>
        </is>
      </c>
      <c r="E18" s="51" t="inlineStr">
        <is>
          <t>M06/M07</t>
        </is>
      </c>
    </row>
    <row r="19" ht="15" customHeight="1" s="38">
      <c r="A19" s="51" t="inlineStr">
        <is>
          <t>paper_questions</t>
        </is>
      </c>
      <c r="B19" s="51" t="inlineStr">
        <is>
          <t>Ordered questions in a paper, including choice pairs.</t>
        </is>
      </c>
      <c r="C19" s="51" t="inlineStr">
        <is>
          <t>id, paper_id, question_id, section, position, marks, choice_group</t>
        </is>
      </c>
      <c r="D19" s="51" t="inlineStr">
        <is>
          <t>-&gt; papers, questions</t>
        </is>
      </c>
      <c r="E19" s="51" t="inlineStr">
        <is>
          <t>M06</t>
        </is>
      </c>
    </row>
    <row r="20" ht="23.25" customHeight="1" s="38">
      <c r="A20" s="51" t="inlineStr">
        <is>
          <t>attempts</t>
        </is>
      </c>
      <c r="B20" s="51" t="inlineStr">
        <is>
          <t>One sitting of a paper (on-screen or uploaded).</t>
        </is>
      </c>
      <c r="C20" s="51" t="inlineStr">
        <is>
          <t>id, paper_id, student_id, mode(online|uploaded), started_at, submitted_at, duration_used_sec, status</t>
        </is>
      </c>
      <c r="D20" s="51" t="inlineStr">
        <is>
          <t>-&gt; attempt_answers</t>
        </is>
      </c>
      <c r="E20" s="51" t="inlineStr">
        <is>
          <t>M08/M10</t>
        </is>
      </c>
    </row>
    <row r="21" ht="23.25" customHeight="1" s="38">
      <c r="A21" s="51" t="inlineStr">
        <is>
          <t>attempt_answers</t>
        </is>
      </c>
      <c r="B21" s="51" t="inlineStr">
        <is>
          <t>The student's response per question.</t>
        </is>
      </c>
      <c r="C21" s="51" t="inlineStr">
        <is>
          <t>id, attempt_id, paper_question_id, response_text, selected_option, time_spent_sec, source(typed|ocr), ocr_confidence, image_ref</t>
        </is>
      </c>
      <c r="D21" s="51" t="inlineStr">
        <is>
          <t>-&gt; attempts</t>
        </is>
      </c>
      <c r="E21" s="51" t="inlineStr">
        <is>
          <t>M08/M10</t>
        </is>
      </c>
    </row>
    <row r="22" ht="23.25" customHeight="1" s="38">
      <c r="A22" s="51" t="inlineStr">
        <is>
          <t>evaluations</t>
        </is>
      </c>
      <c r="B22" s="51" t="inlineStr">
        <is>
          <t>Scored result of an attempt.</t>
        </is>
      </c>
      <c r="C22" s="51" t="inlineStr">
        <is>
          <t>id, attempt_id, actual_score, knowledge_score, delivery_gap, total_marks, percentage, grade, evaluated_by(ai|human|mixed), confirmed_at, remarks</t>
        </is>
      </c>
      <c r="D22" s="51" t="inlineStr">
        <is>
          <t>-&gt; evaluation_items</t>
        </is>
      </c>
      <c r="E22" s="51" t="inlineStr">
        <is>
          <t>M09/M11</t>
        </is>
      </c>
    </row>
    <row r="23" ht="23.25" customHeight="1" s="38">
      <c r="A23" s="51" t="inlineStr">
        <is>
          <t>evaluation_items</t>
        </is>
      </c>
      <c r="B23" s="51" t="inlineStr">
        <is>
          <t>Per-question verdict — the diagnostic core.</t>
        </is>
      </c>
      <c r="C23" s="51" t="inlineStr">
        <is>
          <t>id, evaluation_id, paper_question_id, marks_awarded, marks_max, ai_marks, error_type, knowledge_known(bool), feedback, step_marks_awarded(jsonb), overridden_by</t>
        </is>
      </c>
      <c r="D23" s="51" t="inlineStr">
        <is>
          <t>-&gt; evaluations</t>
        </is>
      </c>
      <c r="E23" s="51" t="inlineStr">
        <is>
          <t>M09/M11</t>
        </is>
      </c>
    </row>
    <row r="24" ht="23.25" customHeight="1" s="38">
      <c r="A24" s="51" t="inlineStr">
        <is>
          <t>patterns</t>
        </is>
      </c>
      <c r="B24" s="51" t="inlineStr">
        <is>
          <t>Behaviour pattern library (P1-P6), editable not hardcoded.</t>
        </is>
      </c>
      <c r="C24" s="51" t="inlineStr">
        <is>
          <t>id, code, name, description, subject_scope, is_active</t>
        </is>
      </c>
      <c r="D24" s="51" t="inlineStr">
        <is>
          <t>-&gt; pattern_hits</t>
        </is>
      </c>
      <c r="E24" s="51" t="inlineStr">
        <is>
          <t>M11</t>
        </is>
      </c>
    </row>
    <row r="25" ht="15" customHeight="1" s="38">
      <c r="A25" s="51" t="inlineStr">
        <is>
          <t>pattern_hits</t>
        </is>
      </c>
      <c r="B25" s="51" t="inlineStr">
        <is>
          <t>A pattern observed on a specific answer.</t>
        </is>
      </c>
      <c r="C25" s="51" t="inlineStr">
        <is>
          <t>id, evaluation_item_id, pattern_id, note</t>
        </is>
      </c>
      <c r="D25" s="51" t="inlineStr">
        <is>
          <t>-&gt; patterns</t>
        </is>
      </c>
      <c r="E25" s="51" t="inlineStr">
        <is>
          <t>M11</t>
        </is>
      </c>
    </row>
    <row r="26" ht="15" customHeight="1" s="38">
      <c r="A26" s="51" t="inlineStr">
        <is>
          <t>habits</t>
        </is>
      </c>
      <c r="B26" s="51" t="inlineStr">
        <is>
          <t>Presentation habit library (H1-H10).</t>
        </is>
      </c>
      <c r="C26" s="51" t="inlineStr">
        <is>
          <t>id, code, name, description, target_behaviour</t>
        </is>
      </c>
      <c r="D26" s="51" t="inlineStr">
        <is>
          <t>-&gt; habit_observations</t>
        </is>
      </c>
      <c r="E26" s="51" t="inlineStr">
        <is>
          <t>M11</t>
        </is>
      </c>
    </row>
    <row r="27" ht="15" customHeight="1" s="38">
      <c r="A27" s="51" t="inlineStr">
        <is>
          <t>habit_observations</t>
        </is>
      </c>
      <c r="B27" s="51" t="inlineStr">
        <is>
          <t>Per-paper habit rating.</t>
        </is>
      </c>
      <c r="C27" s="51" t="inlineStr">
        <is>
          <t>id, evaluation_id, habit_id, rating(present|partial|absent), evidence_note</t>
        </is>
      </c>
      <c r="D27" s="51" t="inlineStr">
        <is>
          <t>-&gt; habits</t>
        </is>
      </c>
      <c r="E27" s="51" t="inlineStr">
        <is>
          <t>M11</t>
        </is>
      </c>
    </row>
    <row r="28" ht="15" customHeight="1" s="38">
      <c r="A28" s="51" t="inlineStr">
        <is>
          <t>concept_mastery</t>
        </is>
      </c>
      <c r="B28" s="51" t="inlineStr">
        <is>
          <t>Append-only attempt ledger per concept.</t>
        </is>
      </c>
      <c r="C28" s="51" t="inlineStr">
        <is>
          <t>id, student_id, concept_id, evaluation_id, date, marks, marks_max, ratio, status_at_time</t>
        </is>
      </c>
      <c r="D28" s="51" t="inlineStr">
        <is>
          <t>-&gt; concepts</t>
        </is>
      </c>
      <c r="E28" s="51" t="inlineStr">
        <is>
          <t>M12</t>
        </is>
      </c>
    </row>
    <row r="29" ht="23.25" customHeight="1" s="38">
      <c r="A29" s="51" t="inlineStr">
        <is>
          <t>concept_status</t>
        </is>
      </c>
      <c r="B29" s="51" t="inlineStr">
        <is>
          <t>Current derived state per concept.</t>
        </is>
      </c>
      <c r="C29" s="51" t="inlineStr">
        <is>
          <t>student_id, concept_id, attempts, avg_ratio, last_ratio, trend, status(Strong|Needs Practice|Weak|Priority|Maintenance), flagged_at, next_retest_at</t>
        </is>
      </c>
      <c r="D29" s="51" t="inlineStr">
        <is>
          <t>-&gt; concepts</t>
        </is>
      </c>
      <c r="E29" s="51" t="inlineStr">
        <is>
          <t>M12</t>
        </is>
      </c>
    </row>
    <row r="30" ht="23.25" customHeight="1" s="38">
      <c r="A30" s="51" t="inlineStr">
        <is>
          <t>remediation_tasks</t>
        </is>
      </c>
      <c r="B30" s="51" t="inlineStr">
        <is>
          <t>Auto-generated drills.</t>
        </is>
      </c>
      <c r="C30" s="51" t="inlineStr">
        <is>
          <t>id, student_id, concept_id, trigger_reason, refresher, examples(jsonb), question_ids[], status, due_at, completed_at</t>
        </is>
      </c>
      <c r="D30" s="51" t="inlineStr">
        <is>
          <t>-&gt; concepts</t>
        </is>
      </c>
      <c r="E30" s="51" t="inlineStr">
        <is>
          <t>M13</t>
        </is>
      </c>
    </row>
    <row r="31" ht="15" customHeight="1" s="38">
      <c r="A31" s="51" t="inlineStr">
        <is>
          <t>study_plans</t>
        </is>
      </c>
      <c r="B31" s="51" t="inlineStr">
        <is>
          <t>7-day plans and daily tasks.</t>
        </is>
      </c>
      <c r="C31" s="51" t="inlineStr">
        <is>
          <t>id, student_id, week_start, days(jsonb), generated_from(jsonb), status</t>
        </is>
      </c>
      <c r="D31" s="51" t="inlineStr">
        <is>
          <t>-&gt; students</t>
        </is>
      </c>
      <c r="E31" s="51" t="inlineStr">
        <is>
          <t>M15</t>
        </is>
      </c>
    </row>
    <row r="32" ht="23.25" customHeight="1" s="38">
      <c r="A32" s="51" t="inlineStr">
        <is>
          <t>uploads</t>
        </is>
      </c>
      <c r="B32" s="51" t="inlineStr">
        <is>
          <t>Raw files from the parent.</t>
        </is>
      </c>
      <c r="C32" s="51" t="inlineStr">
        <is>
          <t>id, student_id, attempt_id, kind(scan|source_pdf), storage_ref, page_count, mime, size_bytes, uploaded_at</t>
        </is>
      </c>
      <c r="D32" s="51" t="inlineStr">
        <is>
          <t>-&gt; attempts</t>
        </is>
      </c>
      <c r="E32" s="51" t="inlineStr">
        <is>
          <t>M10/M17</t>
        </is>
      </c>
    </row>
    <row r="33" ht="23.25" customHeight="1" s="38">
      <c r="A33" s="51" t="inlineStr">
        <is>
          <t>ai_jobs</t>
        </is>
      </c>
      <c r="B33" s="51" t="inlineStr">
        <is>
          <t>Every AI call, for cost and audit.</t>
        </is>
      </c>
      <c r="C33" s="51" t="inlineStr">
        <is>
          <t>id, household_id, feature, model, prompt_ref, tokens_in, tokens_out, cost_inr, latency_ms, status, error, created_at</t>
        </is>
      </c>
      <c r="D33" s="51" t="inlineStr">
        <is>
          <t>-&gt; households</t>
        </is>
      </c>
      <c r="E33" s="51" t="inlineStr">
        <is>
          <t>M19</t>
        </is>
      </c>
    </row>
    <row r="34" ht="15" customHeight="1" s="38">
      <c r="A34" s="51" t="inlineStr">
        <is>
          <t>notifications</t>
        </is>
      </c>
      <c r="B34" s="51" t="inlineStr">
        <is>
          <t>Outbound messages.</t>
        </is>
      </c>
      <c r="C34" s="51" t="inlineStr">
        <is>
          <t>id, user_id, channel(email|whatsapp|in_app), template, payload(jsonb), status, sent_at, read_at</t>
        </is>
      </c>
      <c r="D34" s="51" t="inlineStr">
        <is>
          <t>-&gt; users</t>
        </is>
      </c>
      <c r="E34" s="51" t="inlineStr">
        <is>
          <t>M16</t>
        </is>
      </c>
    </row>
    <row r="35" ht="15" customHeight="1" s="38">
      <c r="A35" s="51" t="inlineStr">
        <is>
          <t>audit_log</t>
        </is>
      </c>
      <c r="B35" s="51" t="inlineStr">
        <is>
          <t>Immutable trail of sensitive writes.</t>
        </is>
      </c>
      <c r="C35" s="51" t="inlineStr">
        <is>
          <t>id, household_id, actor_user_id, action, entity, entity_id, before(jsonb), after(jsonb), created_at</t>
        </is>
      </c>
      <c r="D35" s="51" t="inlineStr">
        <is>
          <t>-&gt; households</t>
        </is>
      </c>
      <c r="E35" s="51" t="inlineStr">
        <is>
          <t>M20</t>
        </is>
      </c>
    </row>
    <row r="36">
      <c r="A36" t="inlineStr">
        <is>
          <t>consents</t>
        </is>
      </c>
      <c r="B36" t="inlineStr">
        <is>
          <t>DPDP consent events (F095). Append-only -- withdrawal sets withdrawn_at, never deletes.</t>
        </is>
      </c>
      <c r="C36" t="inlineStr">
        <is>
          <t>id, household_id, student_id, given_by_user_id, purpose_version, given_at, withdrawn_at</t>
        </is>
      </c>
      <c r="D36" t="inlineStr">
        <is>
          <t>-&gt; households, students, users</t>
        </is>
      </c>
      <c r="E36" t="inlineStr">
        <is>
          <t>M20</t>
        </is>
      </c>
    </row>
    <row r="37">
      <c r="A37" t="inlineStr">
        <is>
          <t>scan_pages</t>
        </is>
      </c>
      <c r="B37" t="inlineStr">
        <is>
          <t>F050/F097: one photographed page of a written paper, AES-256-GCM encrypted by the app. Image nulled 30 days after upload (row kept).</t>
        </is>
      </c>
      <c r="C37" t="inlineStr">
        <is>
          <t>id, attempt_id, student_id, upload_id, page_number, mime, size_bytes, image (bytea, encrypted), extracted_at, extraction_error, uploaded_by_user_id, created_at, purged_at</t>
        </is>
      </c>
      <c r="D37" t="inlineStr">
        <is>
          <t>-&gt; attempts, students, uploads, users</t>
        </is>
      </c>
      <c r="E37" t="inlineStr">
        <is>
          <t>M10/M20</t>
        </is>
      </c>
    </row>
    <row r="38">
      <c r="A38" t="inlineStr">
        <is>
          <t>scan_detections</t>
        </is>
      </c>
      <c r="B38" t="inlineStr">
        <is>
          <t>F051-F053: one answer the vision model found on a page, its mapping to a question, confidence, position on the page, and review status.</t>
        </is>
      </c>
      <c r="C38" t="inlineStr">
        <is>
          <t>id, attempt_id, student_id, scan_page_id, detected_label, paper_question_id, response_text, selected_option, confidence, bbox, status, confirmed_by_user_id, confirmed_at, created_at</t>
        </is>
      </c>
      <c r="D38" t="inlineStr">
        <is>
          <t>-&gt; attempts, students, scan_pages, paper_questions, users</t>
        </is>
      </c>
      <c r="E38" t="inlineStr">
        <is>
          <t>M10</t>
        </is>
      </c>
    </row>
  </sheetData>
  <autoFilter ref="A3:E35"/>
  <mergeCells count="1">
    <mergeCell ref="A1:E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F50"/>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10" customWidth="1" style="38" min="1" max="1"/>
    <col width="42" customWidth="1" style="38" min="2" max="2"/>
    <col width="12" customWidth="1" style="38" min="3" max="3"/>
    <col width="52" customWidth="1" style="38" min="4" max="4"/>
    <col width="60" customWidth="1" style="38" min="5" max="5"/>
    <col width="12" customWidth="1" style="38" min="6" max="6"/>
  </cols>
  <sheetData>
    <row r="1" ht="24" customHeight="1" s="38">
      <c r="A1" s="42" t="inlineStr">
        <is>
          <t>05  API Endpoints  —  38 routes. Auth column is the minimum role; all routes are household-scoped server-side.</t>
        </is>
      </c>
    </row>
    <row r="3" ht="30" customHeight="1" s="38">
      <c r="A3" s="2" t="inlineStr">
        <is>
          <t>Method</t>
        </is>
      </c>
      <c r="B3" s="2" t="inlineStr">
        <is>
          <t>Route</t>
        </is>
      </c>
      <c r="C3" s="2" t="inlineStr">
        <is>
          <t>Auth</t>
        </is>
      </c>
      <c r="D3" s="2" t="inlineStr">
        <is>
          <t>Request</t>
        </is>
      </c>
      <c r="E3" s="2" t="inlineStr">
        <is>
          <t>Response</t>
        </is>
      </c>
      <c r="F3" s="2" t="inlineStr">
        <is>
          <t>Module</t>
        </is>
      </c>
    </row>
    <row r="4" ht="15" customHeight="1" s="38">
      <c r="A4" s="51" t="inlineStr">
        <is>
          <t>POST</t>
        </is>
      </c>
      <c r="B4" s="51" t="inlineStr">
        <is>
          <t>/api/auth/sign-in</t>
        </is>
      </c>
      <c r="C4" s="51" t="inlineStr">
        <is>
          <t>Public</t>
        </is>
      </c>
      <c r="D4" s="51" t="inlineStr">
        <is>
          <t>email, password | oauth code</t>
        </is>
      </c>
      <c r="E4" s="51" t="inlineStr">
        <is>
          <t>session cookie, user</t>
        </is>
      </c>
      <c r="F4" s="51" t="inlineStr">
        <is>
          <t>M02</t>
        </is>
      </c>
    </row>
    <row r="5" ht="15" customHeight="1" s="38">
      <c r="A5" s="51" t="inlineStr">
        <is>
          <t>POST</t>
        </is>
      </c>
      <c r="B5" s="51" t="inlineStr">
        <is>
          <t>/api/auth/sign-out</t>
        </is>
      </c>
      <c r="C5" s="51" t="inlineStr">
        <is>
          <t>User</t>
        </is>
      </c>
      <c r="D5" s="51" t="inlineStr">
        <is>
          <t>-</t>
        </is>
      </c>
      <c r="E5" s="51" t="inlineStr">
        <is>
          <t>204</t>
        </is>
      </c>
      <c r="F5" s="51" t="inlineStr">
        <is>
          <t>M02</t>
        </is>
      </c>
    </row>
    <row r="6" ht="15" customHeight="1" s="38">
      <c r="A6" s="51" t="inlineStr">
        <is>
          <t>GET</t>
        </is>
      </c>
      <c r="B6" s="51" t="inlineStr">
        <is>
          <t>/api/students</t>
        </is>
      </c>
      <c r="C6" s="51" t="inlineStr">
        <is>
          <t>Parent</t>
        </is>
      </c>
      <c r="D6" s="51" t="inlineStr">
        <is>
          <t>-</t>
        </is>
      </c>
      <c r="E6" s="51" t="inlineStr">
        <is>
          <t>student[] for household</t>
        </is>
      </c>
      <c r="F6" s="51" t="inlineStr">
        <is>
          <t>M02</t>
        </is>
      </c>
    </row>
    <row r="7" ht="15" customHeight="1" s="38">
      <c r="A7" s="51" t="inlineStr">
        <is>
          <t>POST</t>
        </is>
      </c>
      <c r="B7" s="51" t="inlineStr">
        <is>
          <t>/api/students</t>
        </is>
      </c>
      <c r="C7" s="51" t="inlineStr">
        <is>
          <t>Parent</t>
        </is>
      </c>
      <c r="D7" s="51" t="inlineStr">
        <is>
          <t>name, class, board, school, roll_no</t>
        </is>
      </c>
      <c r="E7" s="51" t="inlineStr">
        <is>
          <t>student</t>
        </is>
      </c>
      <c r="F7" s="51" t="inlineStr">
        <is>
          <t>M02</t>
        </is>
      </c>
    </row>
    <row r="8" ht="15" customHeight="1" s="38">
      <c r="A8" s="51" t="inlineStr">
        <is>
          <t>PATCH</t>
        </is>
      </c>
      <c r="B8" s="51" t="inlineStr">
        <is>
          <t>/api/students/:id</t>
        </is>
      </c>
      <c r="C8" s="51" t="inlineStr">
        <is>
          <t>Parent</t>
        </is>
      </c>
      <c r="D8" s="51" t="inlineStr">
        <is>
          <t>partial profile</t>
        </is>
      </c>
      <c r="E8" s="51" t="inlineStr">
        <is>
          <t>student</t>
        </is>
      </c>
      <c r="F8" s="51" t="inlineStr">
        <is>
          <t>M02</t>
        </is>
      </c>
    </row>
    <row r="9" ht="15" customHeight="1" s="38">
      <c r="A9" s="51" t="inlineStr">
        <is>
          <t>GET</t>
        </is>
      </c>
      <c r="B9" s="51" t="inlineStr">
        <is>
          <t>/api/syllabus/subjects</t>
        </is>
      </c>
      <c r="C9" s="51" t="inlineStr">
        <is>
          <t>User</t>
        </is>
      </c>
      <c r="D9" s="51" t="inlineStr">
        <is>
          <t>board, class</t>
        </is>
      </c>
      <c r="E9" s="51" t="inlineStr">
        <is>
          <t>subject[]</t>
        </is>
      </c>
      <c r="F9" s="51" t="inlineStr">
        <is>
          <t>M04</t>
        </is>
      </c>
    </row>
    <row r="10" ht="15" customHeight="1" s="38">
      <c r="A10" s="51" t="inlineStr">
        <is>
          <t>GET</t>
        </is>
      </c>
      <c r="B10" s="51" t="inlineStr">
        <is>
          <t>/api/syllabus/chapters</t>
        </is>
      </c>
      <c r="C10" s="51" t="inlineStr">
        <is>
          <t>User</t>
        </is>
      </c>
      <c r="D10" s="51" t="inlineStr">
        <is>
          <t>subject_id</t>
        </is>
      </c>
      <c r="E10" s="51" t="inlineStr">
        <is>
          <t>chapter[] with scope counts</t>
        </is>
      </c>
      <c r="F10" s="51" t="inlineStr">
        <is>
          <t>M04</t>
        </is>
      </c>
    </row>
    <row r="11" ht="15" customHeight="1" s="38">
      <c r="A11" s="51" t="inlineStr">
        <is>
          <t>GET</t>
        </is>
      </c>
      <c r="B11" s="51" t="inlineStr">
        <is>
          <t>/api/syllabus/chapters/:id/scope</t>
        </is>
      </c>
      <c r="C11" s="51" t="inlineStr">
        <is>
          <t>User</t>
        </is>
      </c>
      <c r="D11" s="51" t="inlineStr">
        <is>
          <t>-</t>
        </is>
      </c>
      <c r="E11" s="51" t="inlineStr">
        <is>
          <t>IN[] and OUT[] scope items with page refs</t>
        </is>
      </c>
      <c r="F11" s="51" t="inlineStr">
        <is>
          <t>M04</t>
        </is>
      </c>
    </row>
    <row r="12" ht="15" customHeight="1" s="38">
      <c r="A12" s="51" t="inlineStr">
        <is>
          <t>POST</t>
        </is>
      </c>
      <c r="B12" s="51" t="inlineStr">
        <is>
          <t>/api/syllabus/chapters/:id/scope</t>
        </is>
      </c>
      <c r="C12" s="51" t="inlineStr">
        <is>
          <t>Admin</t>
        </is>
      </c>
      <c r="D12" s="51" t="inlineStr">
        <is>
          <t>kind, items[]</t>
        </is>
      </c>
      <c r="E12" s="51" t="inlineStr">
        <is>
          <t>created scope items</t>
        </is>
      </c>
      <c r="F12" s="51" t="inlineStr">
        <is>
          <t>M04</t>
        </is>
      </c>
    </row>
    <row r="13" ht="15" customHeight="1" s="38">
      <c r="A13" s="51" t="inlineStr">
        <is>
          <t>POST</t>
        </is>
      </c>
      <c r="B13" s="51" t="inlineStr">
        <is>
          <t>/api/syllabus/import</t>
        </is>
      </c>
      <c r="C13" s="51" t="inlineStr">
        <is>
          <t>Admin</t>
        </is>
      </c>
      <c r="D13" s="51" t="inlineStr">
        <is>
          <t>source pdf ref, chapter_id</t>
        </is>
      </c>
      <c r="E13" s="51" t="inlineStr">
        <is>
          <t>draft concepts + scope for approval</t>
        </is>
      </c>
      <c r="F13" s="51" t="inlineStr">
        <is>
          <t>M04</t>
        </is>
      </c>
    </row>
    <row r="14" ht="15" customHeight="1" s="38">
      <c r="A14" s="51" t="inlineStr">
        <is>
          <t>GET</t>
        </is>
      </c>
      <c r="B14" s="51" t="inlineStr">
        <is>
          <t>/api/questions</t>
        </is>
      </c>
      <c r="C14" s="51" t="inlineStr">
        <is>
          <t>Admin</t>
        </is>
      </c>
      <c r="D14" s="51" t="inlineStr">
        <is>
          <t>filters: concept, bloom, difficulty, type, status</t>
        </is>
      </c>
      <c r="E14" s="51" t="inlineStr">
        <is>
          <t>paginated question[]</t>
        </is>
      </c>
      <c r="F14" s="51" t="inlineStr">
        <is>
          <t>M05</t>
        </is>
      </c>
    </row>
    <row r="15" ht="15" customHeight="1" s="38">
      <c r="A15" s="51" t="inlineStr">
        <is>
          <t>POST</t>
        </is>
      </c>
      <c r="B15" s="51" t="inlineStr">
        <is>
          <t>/api/questions</t>
        </is>
      </c>
      <c r="C15" s="51" t="inlineStr">
        <is>
          <t>Admin</t>
        </is>
      </c>
      <c r="D15" s="51" t="inlineStr">
        <is>
          <t>full question payload + step marks</t>
        </is>
      </c>
      <c r="E15" s="51" t="inlineStr">
        <is>
          <t>question</t>
        </is>
      </c>
      <c r="F15" s="51" t="inlineStr">
        <is>
          <t>M05</t>
        </is>
      </c>
    </row>
    <row r="16" ht="15" customHeight="1" s="38">
      <c r="A16" s="51" t="inlineStr">
        <is>
          <t>PATCH</t>
        </is>
      </c>
      <c r="B16" s="51" t="inlineStr">
        <is>
          <t>/api/questions/:id</t>
        </is>
      </c>
      <c r="C16" s="51" t="inlineStr">
        <is>
          <t>Admin</t>
        </is>
      </c>
      <c r="D16" s="51" t="inlineStr">
        <is>
          <t>partial</t>
        </is>
      </c>
      <c r="E16" s="51" t="inlineStr">
        <is>
          <t>question</t>
        </is>
      </c>
      <c r="F16" s="51" t="inlineStr">
        <is>
          <t>M05</t>
        </is>
      </c>
    </row>
    <row r="17" ht="15" customHeight="1" s="38">
      <c r="A17" s="51" t="inlineStr">
        <is>
          <t>POST</t>
        </is>
      </c>
      <c r="B17" s="51" t="inlineStr">
        <is>
          <t>/api/questions/bulk-import</t>
        </is>
      </c>
      <c r="C17" s="51" t="inlineStr">
        <is>
          <t>Admin</t>
        </is>
      </c>
      <c r="D17" s="51" t="inlineStr">
        <is>
          <t>file (csv/json)</t>
        </is>
      </c>
      <c r="E17" s="51" t="inlineStr">
        <is>
          <t>imported count + rejected rows with reasons</t>
        </is>
      </c>
      <c r="F17" s="51" t="inlineStr">
        <is>
          <t>M05</t>
        </is>
      </c>
    </row>
    <row r="18" ht="15" customHeight="1" s="38">
      <c r="A18" s="51" t="inlineStr">
        <is>
          <t>POST</t>
        </is>
      </c>
      <c r="B18" s="51" t="inlineStr">
        <is>
          <t>/api/questions/generate</t>
        </is>
      </c>
      <c r="C18" s="51" t="inlineStr">
        <is>
          <t>Admin</t>
        </is>
      </c>
      <c r="D18" s="51" t="inlineStr">
        <is>
          <t>concept_id, count, bloom, difficulty</t>
        </is>
      </c>
      <c r="E18" s="51" t="inlineStr">
        <is>
          <t>draft question[] in review queue</t>
        </is>
      </c>
      <c r="F18" s="51" t="inlineStr">
        <is>
          <t>M05</t>
        </is>
      </c>
    </row>
    <row r="19" ht="15" customHeight="1" s="38">
      <c r="A19" s="51" t="inlineStr">
        <is>
          <t>POST</t>
        </is>
      </c>
      <c r="B19" s="51" t="inlineStr">
        <is>
          <t>/api/questions/:id/approve</t>
        </is>
      </c>
      <c r="C19" s="51" t="inlineStr">
        <is>
          <t>Admin</t>
        </is>
      </c>
      <c r="D19" s="51" t="inlineStr">
        <is>
          <t>reviewer note</t>
        </is>
      </c>
      <c r="E19" s="51" t="inlineStr">
        <is>
          <t>question with status=approved</t>
        </is>
      </c>
      <c r="F19" s="51" t="inlineStr">
        <is>
          <t>M17</t>
        </is>
      </c>
    </row>
    <row r="20" ht="15" customHeight="1" s="38">
      <c r="A20" s="51" t="inlineStr">
        <is>
          <t>GET</t>
        </is>
      </c>
      <c r="B20" s="51" t="inlineStr">
        <is>
          <t>/api/blueprints</t>
        </is>
      </c>
      <c r="C20" s="51" t="inlineStr">
        <is>
          <t>User</t>
        </is>
      </c>
      <c r="D20" s="51" t="inlineStr">
        <is>
          <t>subject_id</t>
        </is>
      </c>
      <c r="E20" s="51" t="inlineStr">
        <is>
          <t>blueprint[]</t>
        </is>
      </c>
      <c r="F20" s="51" t="inlineStr">
        <is>
          <t>M06</t>
        </is>
      </c>
    </row>
    <row r="21" ht="15" customHeight="1" s="38">
      <c r="A21" s="51" t="inlineStr">
        <is>
          <t>POST</t>
        </is>
      </c>
      <c r="B21" s="51" t="inlineStr">
        <is>
          <t>/api/blueprints</t>
        </is>
      </c>
      <c r="C21" s="51" t="inlineStr">
        <is>
          <t>Admin</t>
        </is>
      </c>
      <c r="D21" s="51" t="inlineStr">
        <is>
          <t>sections, marks, duration, bloom targets, choice rules</t>
        </is>
      </c>
      <c r="E21" s="51" t="inlineStr">
        <is>
          <t>blueprint</t>
        </is>
      </c>
      <c r="F21" s="51" t="inlineStr">
        <is>
          <t>M06</t>
        </is>
      </c>
    </row>
    <row r="22" ht="15" customHeight="1" s="38">
      <c r="A22" s="51" t="inlineStr">
        <is>
          <t>POST</t>
        </is>
      </c>
      <c r="B22" s="51" t="inlineStr">
        <is>
          <t>/api/papers/generate</t>
        </is>
      </c>
      <c r="C22" s="51" t="inlineStr">
        <is>
          <t>Parent</t>
        </is>
      </c>
      <c r="D22" s="51" t="inlineStr">
        <is>
          <t>student_id, blueprint_id, chapter_ids, theme, weighting override</t>
        </is>
      </c>
      <c r="E22" s="51" t="inlineStr">
        <is>
          <t>paper with question list, weighting actual, shortfalls</t>
        </is>
      </c>
      <c r="F22" s="51" t="inlineStr">
        <is>
          <t>M06</t>
        </is>
      </c>
    </row>
    <row r="23" ht="15" customHeight="1" s="38">
      <c r="A23" s="51" t="inlineStr">
        <is>
          <t>GET</t>
        </is>
      </c>
      <c r="B23" s="51" t="inlineStr">
        <is>
          <t>/api/papers/:id</t>
        </is>
      </c>
      <c r="C23" s="51" t="inlineStr">
        <is>
          <t>Parent</t>
        </is>
      </c>
      <c r="D23" s="51" t="inlineStr">
        <is>
          <t>-</t>
        </is>
      </c>
      <c r="E23" s="51" t="inlineStr">
        <is>
          <t>paper with questions (answers hidden for student role)</t>
        </is>
      </c>
      <c r="F23" s="51" t="inlineStr">
        <is>
          <t>M06</t>
        </is>
      </c>
    </row>
    <row r="24" ht="15" customHeight="1" s="38">
      <c r="A24" s="51" t="inlineStr">
        <is>
          <t>POST</t>
        </is>
      </c>
      <c r="B24" s="51" t="inlineStr">
        <is>
          <t>/api/papers/:id/regenerate-slot</t>
        </is>
      </c>
      <c r="C24" s="51" t="inlineStr">
        <is>
          <t>Parent</t>
        </is>
      </c>
      <c r="D24" s="51" t="inlineStr">
        <is>
          <t>paper_question_id, lock others</t>
        </is>
      </c>
      <c r="E24" s="51" t="inlineStr">
        <is>
          <t>replacement question</t>
        </is>
      </c>
      <c r="F24" s="51" t="inlineStr">
        <is>
          <t>M06</t>
        </is>
      </c>
    </row>
    <row r="25" ht="15" customHeight="1" s="38">
      <c r="A25" s="51" t="inlineStr">
        <is>
          <t>GET</t>
        </is>
      </c>
      <c r="B25" s="51" t="inlineStr">
        <is>
          <t>/api/papers/:id/pdf</t>
        </is>
      </c>
      <c r="C25" s="51" t="inlineStr">
        <is>
          <t>Parent</t>
        </is>
      </c>
      <c r="D25" s="51" t="inlineStr">
        <is>
          <t>theme, include_key(bool)</t>
        </is>
      </c>
      <c r="E25" s="51" t="inlineStr">
        <is>
          <t>application/pdf stream</t>
        </is>
      </c>
      <c r="F25" s="51" t="inlineStr">
        <is>
          <t>M07</t>
        </is>
      </c>
    </row>
    <row r="26" ht="15" customHeight="1" s="38">
      <c r="A26" s="51" t="inlineStr">
        <is>
          <t>GET</t>
        </is>
      </c>
      <c r="B26" s="51" t="inlineStr">
        <is>
          <t>/api/papers/:id/coverage</t>
        </is>
      </c>
      <c r="C26" s="51" t="inlineStr">
        <is>
          <t>Parent</t>
        </is>
      </c>
      <c r="D26" s="51" t="inlineStr">
        <is>
          <t>-</t>
        </is>
      </c>
      <c r="E26" s="51" t="inlineStr">
        <is>
          <t>concept coverage + Bloom breakdown</t>
        </is>
      </c>
      <c r="F26" s="51" t="inlineStr">
        <is>
          <t>M07</t>
        </is>
      </c>
    </row>
    <row r="27" ht="15" customHeight="1" s="38">
      <c r="A27" s="51" t="inlineStr">
        <is>
          <t>POST</t>
        </is>
      </c>
      <c r="B27" s="51" t="inlineStr">
        <is>
          <t>/api/attempts</t>
        </is>
      </c>
      <c r="C27" s="51" t="inlineStr">
        <is>
          <t>Student</t>
        </is>
      </c>
      <c r="D27" s="51" t="inlineStr">
        <is>
          <t>paper_id, mode</t>
        </is>
      </c>
      <c r="E27" s="51" t="inlineStr">
        <is>
          <t>attempt with server start time</t>
        </is>
      </c>
      <c r="F27" s="51" t="inlineStr">
        <is>
          <t>M08</t>
        </is>
      </c>
    </row>
    <row r="28" ht="15" customHeight="1" s="38">
      <c r="A28" s="51" t="inlineStr">
        <is>
          <t>PATCH</t>
        </is>
      </c>
      <c r="B28" s="51" t="inlineStr">
        <is>
          <t>/api/attempts/:id/answer</t>
        </is>
      </c>
      <c r="C28" s="51" t="inlineStr">
        <is>
          <t>Student</t>
        </is>
      </c>
      <c r="D28" s="51" t="inlineStr">
        <is>
          <t>paper_question_id, response, time_spent</t>
        </is>
      </c>
      <c r="E28" s="51" t="inlineStr">
        <is>
          <t>saved ack (debounced autosave)</t>
        </is>
      </c>
      <c r="F28" s="51" t="inlineStr">
        <is>
          <t>M08</t>
        </is>
      </c>
    </row>
    <row r="29" ht="15" customHeight="1" s="38">
      <c r="A29" s="51" t="inlineStr">
        <is>
          <t>POST</t>
        </is>
      </c>
      <c r="B29" s="51" t="inlineStr">
        <is>
          <t>/api/attempts/:id/submit</t>
        </is>
      </c>
      <c r="C29" s="51" t="inlineStr">
        <is>
          <t>Student</t>
        </is>
      </c>
      <c r="D29" s="51" t="inlineStr">
        <is>
          <t>-</t>
        </is>
      </c>
      <c r="E29" s="51" t="inlineStr">
        <is>
          <t>attempt closed, objective scoring queued</t>
        </is>
      </c>
      <c r="F29" s="51" t="inlineStr">
        <is>
          <t>M08/M09</t>
        </is>
      </c>
    </row>
    <row r="30" ht="15" customHeight="1" s="38">
      <c r="A30" s="51" t="inlineStr">
        <is>
          <t>POST</t>
        </is>
      </c>
      <c r="B30" s="51" t="inlineStr">
        <is>
          <t>/api/uploads</t>
        </is>
      </c>
      <c r="C30" s="51" t="inlineStr">
        <is>
          <t>Parent</t>
        </is>
      </c>
      <c r="D30" s="51" t="inlineStr">
        <is>
          <t>multipart files, student_id, paper_id</t>
        </is>
      </c>
      <c r="E30" s="51" t="inlineStr">
        <is>
          <t>upload record + signed refs</t>
        </is>
      </c>
      <c r="F30" s="51" t="inlineStr">
        <is>
          <t>M10</t>
        </is>
      </c>
    </row>
    <row r="31" ht="15" customHeight="1" s="38">
      <c r="A31" s="51" t="inlineStr">
        <is>
          <t>POST</t>
        </is>
      </c>
      <c r="B31" s="51" t="inlineStr">
        <is>
          <t>/api/uploads/:id/extract</t>
        </is>
      </c>
      <c r="C31" s="51" t="inlineStr">
        <is>
          <t>Parent</t>
        </is>
      </c>
      <c r="D31" s="51" t="inlineStr">
        <is>
          <t>-</t>
        </is>
      </c>
      <c r="E31" s="51" t="inlineStr">
        <is>
          <t>per-question transcription + confidence, unmapped list</t>
        </is>
      </c>
      <c r="F31" s="51" t="inlineStr">
        <is>
          <t>M10</t>
        </is>
      </c>
    </row>
    <row r="32" ht="15" customHeight="1" s="38">
      <c r="A32" s="51" t="inlineStr">
        <is>
          <t>POST</t>
        </is>
      </c>
      <c r="B32" s="51" t="inlineStr">
        <is>
          <t>/api/evaluations</t>
        </is>
      </c>
      <c r="C32" s="51" t="inlineStr">
        <is>
          <t>Parent</t>
        </is>
      </c>
      <c r="D32" s="51" t="inlineStr">
        <is>
          <t>attempt_id</t>
        </is>
      </c>
      <c r="E32" s="51" t="inlineStr">
        <is>
          <t>evaluation with AI-proposed marks and error types</t>
        </is>
      </c>
      <c r="F32" s="51" t="inlineStr">
        <is>
          <t>M09</t>
        </is>
      </c>
    </row>
    <row r="33" ht="15" customHeight="1" s="38">
      <c r="A33" s="51" t="inlineStr">
        <is>
          <t>PATCH</t>
        </is>
      </c>
      <c r="B33" s="51" t="inlineStr">
        <is>
          <t>/api/evaluations/:id/items/:itemId</t>
        </is>
      </c>
      <c r="C33" s="51" t="inlineStr">
        <is>
          <t>Parent</t>
        </is>
      </c>
      <c r="D33" s="51" t="inlineStr">
        <is>
          <t>marks, error_type, knowledge_known, feedback</t>
        </is>
      </c>
      <c r="E33" s="51" t="inlineStr">
        <is>
          <t>updated item, audit entry written</t>
        </is>
      </c>
      <c r="F33" s="51" t="inlineStr">
        <is>
          <t>M09/M11</t>
        </is>
      </c>
    </row>
    <row r="34" ht="15" customHeight="1" s="38">
      <c r="A34" s="51" t="inlineStr">
        <is>
          <t>POST</t>
        </is>
      </c>
      <c r="B34" s="51" t="inlineStr">
        <is>
          <t>/api/evaluations/:id/confirm</t>
        </is>
      </c>
      <c r="C34" s="51" t="inlineStr">
        <is>
          <t>Parent</t>
        </is>
      </c>
      <c r="D34" s="51" t="inlineStr">
        <is>
          <t>-</t>
        </is>
      </c>
      <c r="E34" s="51" t="inlineStr">
        <is>
          <t>evaluation finalised; mastery ledger written</t>
        </is>
      </c>
      <c r="F34" s="51" t="inlineStr">
        <is>
          <t>M09/M12</t>
        </is>
      </c>
    </row>
    <row r="35" ht="15" customHeight="1" s="38">
      <c r="A35" s="51" t="inlineStr">
        <is>
          <t>GET</t>
        </is>
      </c>
      <c r="B35" s="51" t="inlineStr">
        <is>
          <t>/api/evaluations/:id/report</t>
        </is>
      </c>
      <c r="C35" s="51" t="inlineStr">
        <is>
          <t>Parent</t>
        </is>
      </c>
      <c r="D35" s="51" t="inlineStr">
        <is>
          <t>-</t>
        </is>
      </c>
      <c r="E35" s="51" t="inlineStr">
        <is>
          <t>diagnosis report json (score, gap, inventory, patterns, habits, actions)</t>
        </is>
      </c>
      <c r="F35" s="51" t="inlineStr">
        <is>
          <t>M11/M14</t>
        </is>
      </c>
    </row>
    <row r="36" ht="15" customHeight="1" s="38">
      <c r="A36" s="51" t="inlineStr">
        <is>
          <t>GET</t>
        </is>
      </c>
      <c r="B36" s="51" t="inlineStr">
        <is>
          <t>/api/tracker/:studentId</t>
        </is>
      </c>
      <c r="C36" s="51" t="inlineStr">
        <is>
          <t>Parent</t>
        </is>
      </c>
      <c r="D36" s="51" t="inlineStr">
        <is>
          <t>subject_id, status filter</t>
        </is>
      </c>
      <c r="E36" s="51" t="inlineStr">
        <is>
          <t>concept status rows with trend</t>
        </is>
      </c>
      <c r="F36" s="51" t="inlineStr">
        <is>
          <t>M12</t>
        </is>
      </c>
    </row>
    <row r="37" ht="15" customHeight="1" s="38">
      <c r="A37" s="51" t="inlineStr">
        <is>
          <t>GET</t>
        </is>
      </c>
      <c r="B37" s="51" t="inlineStr">
        <is>
          <t>/api/dashboard/:studentId</t>
        </is>
      </c>
      <c r="C37" s="51" t="inlineStr">
        <is>
          <t>Parent</t>
        </is>
      </c>
      <c r="D37" s="51" t="inlineStr">
        <is>
          <t>-</t>
        </is>
      </c>
      <c r="E37" s="51" t="inlineStr">
        <is>
          <t>subject cards, gap trend, priority concepts, next actions</t>
        </is>
      </c>
      <c r="F37" s="51" t="inlineStr">
        <is>
          <t>M14</t>
        </is>
      </c>
    </row>
    <row r="38" ht="15" customHeight="1" s="38">
      <c r="A38" s="51" t="inlineStr">
        <is>
          <t>POST</t>
        </is>
      </c>
      <c r="B38" s="51" t="inlineStr">
        <is>
          <t>/api/remediation/generate</t>
        </is>
      </c>
      <c r="C38" s="51" t="inlineStr">
        <is>
          <t>Parent</t>
        </is>
      </c>
      <c r="D38" s="51" t="inlineStr">
        <is>
          <t>student_id, concept_id</t>
        </is>
      </c>
      <c r="E38" s="51" t="inlineStr">
        <is>
          <t>remediation task with refresher, examples, 3 questions</t>
        </is>
      </c>
      <c r="F38" s="51" t="inlineStr">
        <is>
          <t>M13</t>
        </is>
      </c>
    </row>
    <row r="39" ht="15" customHeight="1" s="38">
      <c r="A39" s="51" t="inlineStr">
        <is>
          <t>GET</t>
        </is>
      </c>
      <c r="B39" s="51" t="inlineStr">
        <is>
          <t>/api/summary/weekly/:studentId</t>
        </is>
      </c>
      <c r="C39" s="51" t="inlineStr">
        <is>
          <t>Parent</t>
        </is>
      </c>
      <c r="D39" s="51" t="inlineStr">
        <is>
          <t>week_start</t>
        </is>
      </c>
      <c r="E39" s="51" t="inlineStr">
        <is>
          <t>weekly summary payload</t>
        </is>
      </c>
      <c r="F39" s="51" t="inlineStr">
        <is>
          <t>M14</t>
        </is>
      </c>
    </row>
    <row r="40" ht="15" customHeight="1" s="38">
      <c r="A40" s="51" t="inlineStr">
        <is>
          <t>GET</t>
        </is>
      </c>
      <c r="B40" s="51" t="inlineStr">
        <is>
          <t>/api/admin/ai-usage</t>
        </is>
      </c>
      <c r="C40" s="51" t="inlineStr">
        <is>
          <t>Admin</t>
        </is>
      </c>
      <c r="D40" s="51" t="inlineStr">
        <is>
          <t>from, to, group_by</t>
        </is>
      </c>
      <c r="E40" s="51" t="inlineStr">
        <is>
          <t>token and cost aggregates</t>
        </is>
      </c>
      <c r="F40" s="51" t="inlineStr">
        <is>
          <t>M19</t>
        </is>
      </c>
    </row>
    <row r="41" ht="15" customHeight="1" s="38">
      <c r="A41" s="51" t="inlineStr">
        <is>
          <t>POST</t>
        </is>
      </c>
      <c r="B41" s="51" t="inlineStr">
        <is>
          <t>/api/privacy/export</t>
        </is>
      </c>
      <c r="C41" s="51" t="inlineStr">
        <is>
          <t>Parent</t>
        </is>
      </c>
      <c r="D41" s="51" t="inlineStr">
        <is>
          <t>-</t>
        </is>
      </c>
      <c r="E41" s="51" t="inlineStr">
        <is>
          <t>job id; email with export archive when ready</t>
        </is>
      </c>
      <c r="F41" s="51" t="inlineStr">
        <is>
          <t>M20</t>
        </is>
      </c>
    </row>
    <row r="42">
      <c r="A42" s="51" t="inlineStr">
        <is>
          <t>POST</t>
        </is>
      </c>
      <c r="B42" s="51" t="inlineStr">
        <is>
          <t>/api/papers/:id/scan-attempt</t>
        </is>
      </c>
      <c r="C42" s="51" t="inlineStr">
        <is>
          <t>Student (own) or Parent/Admin (household)</t>
        </is>
      </c>
      <c r="D42" s="51" t="inlineStr">
        <is>
          <t>-</t>
        </is>
      </c>
      <c r="E42" s="51" t="inlineStr">
        <is>
          <t>attempt_id (open attempt reused, else new mode=uploaded)</t>
        </is>
      </c>
      <c r="F42" s="51" t="inlineStr">
        <is>
          <t>M10</t>
        </is>
      </c>
    </row>
    <row r="43">
      <c r="A43" s="51" t="inlineStr">
        <is>
          <t>GET</t>
        </is>
      </c>
      <c r="B43" s="51" t="inlineStr">
        <is>
          <t>/api/attempts/:id/scan</t>
        </is>
      </c>
      <c r="C43" s="51" t="inlineStr">
        <is>
          <t>Student (own) or Parent/Admin (household)</t>
        </is>
      </c>
      <c r="D43" s="51" t="inlineStr">
        <is>
          <t>-</t>
        </is>
      </c>
      <c r="E43" s="51" t="inlineStr">
        <is>
          <t>pages (signed 10-min links), questions (no key), readings, blockers</t>
        </is>
      </c>
      <c r="F43" s="51" t="inlineStr">
        <is>
          <t>M10</t>
        </is>
      </c>
    </row>
    <row r="44">
      <c r="A44" s="51" t="inlineStr">
        <is>
          <t>PATCH</t>
        </is>
      </c>
      <c r="B44" s="51" t="inlineStr">
        <is>
          <t>/api/attempts/:id/scan</t>
        </is>
      </c>
      <c r="C44" s="51" t="inlineStr">
        <is>
          <t>Student (own) or Parent/Admin (household)</t>
        </is>
      </c>
      <c r="D44" s="51" t="inlineStr">
        <is>
          <t>page_ids[] (new order)</t>
        </is>
      </c>
      <c r="E44" s="51" t="inlineStr">
        <is>
          <t>scan state</t>
        </is>
      </c>
      <c r="F44" s="51" t="inlineStr">
        <is>
          <t>M10</t>
        </is>
      </c>
    </row>
    <row r="45">
      <c r="A45" s="51" t="inlineStr">
        <is>
          <t>POST</t>
        </is>
      </c>
      <c r="B45" s="51" t="inlineStr">
        <is>
          <t>/api/attempts/:id/scan/pages</t>
        </is>
      </c>
      <c r="C45" s="51" t="inlineStr">
        <is>
          <t>Student (own) or Parent/Admin (household)</t>
        </is>
      </c>
      <c r="D45" s="51" t="inlineStr">
        <is>
          <t>media_type, image_base64 (&lt;=3 MB; 20 MB / 20 pages per paper)</t>
        </is>
      </c>
      <c r="E45" s="51" t="inlineStr">
        <is>
          <t>page id, page_number</t>
        </is>
      </c>
      <c r="F45" s="51" t="inlineStr">
        <is>
          <t>M10</t>
        </is>
      </c>
    </row>
    <row r="46">
      <c r="A46" s="51" t="inlineStr">
        <is>
          <t>DELETE</t>
        </is>
      </c>
      <c r="B46" s="51" t="inlineStr">
        <is>
          <t>/api/attempts/:id/scan/pages/:pageId</t>
        </is>
      </c>
      <c r="C46" s="51" t="inlineStr">
        <is>
          <t>Student (own) or Parent/Admin (household)</t>
        </is>
      </c>
      <c r="D46" s="51" t="inlineStr">
        <is>
          <t>-</t>
        </is>
      </c>
      <c r="E46" s="51" t="inlineStr">
        <is>
          <t>204</t>
        </is>
      </c>
      <c r="F46" s="51" t="inlineStr">
        <is>
          <t>M10</t>
        </is>
      </c>
    </row>
    <row r="47">
      <c r="A47" s="51" t="inlineStr">
        <is>
          <t>POST</t>
        </is>
      </c>
      <c r="B47" s="51" t="inlineStr">
        <is>
          <t>/api/attempts/:id/scan/pages/:pageId/extract</t>
        </is>
      </c>
      <c r="C47" s="51" t="inlineStr">
        <is>
          <t>Student (own) or Parent/Admin (household)</t>
        </is>
      </c>
      <c r="D47" s="51" t="inlineStr">
        <is>
          <t>-</t>
        </is>
      </c>
      <c r="E47" s="51" t="inlineStr">
        <is>
          <t>found (count); vision read + question mapping</t>
        </is>
      </c>
      <c r="F47" s="51" t="inlineStr">
        <is>
          <t>M10</t>
        </is>
      </c>
    </row>
    <row r="48">
      <c r="A48" s="51" t="inlineStr">
        <is>
          <t>PATCH</t>
        </is>
      </c>
      <c r="B48" s="51" t="inlineStr">
        <is>
          <t>/api/attempts/:id/scan/detections/:detectionId</t>
        </is>
      </c>
      <c r="C48" s="51" t="inlineStr">
        <is>
          <t>Student (own) or Parent/Admin (household)</t>
        </is>
      </c>
      <c r="D48" s="51" t="inlineStr">
        <is>
          <t>action confirm|discard|restore, paper_question_id?, response_text?, selected_option?</t>
        </is>
      </c>
      <c r="E48" s="51" t="inlineStr">
        <is>
          <t>204</t>
        </is>
      </c>
      <c r="F48" s="51" t="inlineStr">
        <is>
          <t>M10</t>
        </is>
      </c>
    </row>
    <row r="49">
      <c r="A49" s="51" t="inlineStr">
        <is>
          <t>POST</t>
        </is>
      </c>
      <c r="B49" s="51" t="inlineStr">
        <is>
          <t>/api/attempts/:id/scan/apply</t>
        </is>
      </c>
      <c r="C49" s="51" t="inlineStr">
        <is>
          <t>Student (own) or Parent/Admin (household)</t>
        </is>
      </c>
      <c r="D49" s="51" t="inlineStr">
        <is>
          <t>confirm_blanks?</t>
        </is>
      </c>
      <c r="E49" s="51" t="inlineStr">
        <is>
          <t>submitted attempt; 409 needs_review / blank_answers</t>
        </is>
      </c>
      <c r="F49" s="51" t="inlineStr">
        <is>
          <t>M10</t>
        </is>
      </c>
    </row>
    <row r="50">
      <c r="A50" s="51" t="inlineStr">
        <is>
          <t>GET</t>
        </is>
      </c>
      <c r="B50" s="51" t="inlineStr">
        <is>
          <t>/api/scan-pages/:pageId</t>
        </is>
      </c>
      <c r="C50" s="51" t="inlineStr">
        <is>
          <t>Signed URL AND session with access</t>
        </is>
      </c>
      <c r="D50" s="51" t="inlineStr">
        <is>
          <t>exp, sig</t>
        </is>
      </c>
      <c r="E50" s="51" t="inlineStr">
        <is>
          <t>page image (no-store)</t>
        </is>
      </c>
      <c r="F50" s="51" t="inlineStr">
        <is>
          <t>M20</t>
        </is>
      </c>
    </row>
  </sheetData>
  <autoFilter ref="A3:F41"/>
  <mergeCells count="1">
    <mergeCell ref="A1:F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E27"/>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6" customWidth="1" style="38" min="1" max="2"/>
    <col width="12" customWidth="1" style="38" min="3" max="3"/>
    <col width="92" customWidth="1" style="38" min="4" max="4"/>
    <col width="12" customWidth="1" style="38" min="5" max="5"/>
  </cols>
  <sheetData>
    <row r="1" ht="24" customHeight="1" s="38">
      <c r="A1" s="42" t="inlineStr">
        <is>
          <t>06  Screens and Routes  —  24 screens. Reuse the prototype's shell, mastery ring and card components.</t>
        </is>
      </c>
    </row>
    <row r="3" ht="30" customHeight="1" s="38">
      <c r="A3" s="2" t="inlineStr">
        <is>
          <t>Route</t>
        </is>
      </c>
      <c r="B3" s="2" t="inlineStr">
        <is>
          <t>Screen</t>
        </is>
      </c>
      <c r="C3" s="2" t="inlineStr">
        <is>
          <t>Role</t>
        </is>
      </c>
      <c r="D3" s="2" t="inlineStr">
        <is>
          <t>Key Elements</t>
        </is>
      </c>
      <c r="E3" s="2" t="inlineStr">
        <is>
          <t>Module</t>
        </is>
      </c>
    </row>
    <row r="4" ht="15" customHeight="1" s="38">
      <c r="A4" s="51" t="inlineStr">
        <is>
          <t>/</t>
        </is>
      </c>
      <c r="B4" s="51" t="inlineStr">
        <is>
          <t>Landing / sign-in</t>
        </is>
      </c>
      <c r="C4" s="51" t="inlineStr">
        <is>
          <t>Public</t>
        </is>
      </c>
      <c r="D4" s="51" t="inlineStr">
        <is>
          <t>Value proposition, sign in, sign up</t>
        </is>
      </c>
      <c r="E4" s="51" t="inlineStr">
        <is>
          <t>M02</t>
        </is>
      </c>
    </row>
    <row r="5" ht="15" customHeight="1" s="38">
      <c r="A5" s="51" t="inlineStr">
        <is>
          <t>/onboarding</t>
        </is>
      </c>
      <c r="B5" s="51" t="inlineStr">
        <is>
          <t>Setup wizard</t>
        </is>
      </c>
      <c r="C5" s="51" t="inlineStr">
        <is>
          <t>Parent</t>
        </is>
      </c>
      <c r="D5" s="51" t="inlineStr">
        <is>
          <t>Add student, pick board/class, choose subjects, set exam dates</t>
        </is>
      </c>
      <c r="E5" s="51" t="inlineStr">
        <is>
          <t>M02</t>
        </is>
      </c>
    </row>
    <row r="6" ht="15" customHeight="1" s="38">
      <c r="A6" s="51" t="inlineStr">
        <is>
          <t>/home</t>
        </is>
      </c>
      <c r="B6" s="51" t="inlineStr">
        <is>
          <t>Parent dashboard</t>
        </is>
      </c>
      <c r="C6" s="51" t="inlineStr">
        <is>
          <t>Parent</t>
        </is>
      </c>
      <c r="D6" s="51" t="inlineStr">
        <is>
          <t>Subject cards, Delivery Gap trend, priority concepts, next actions, pending uploads</t>
        </is>
      </c>
      <c r="E6" s="51" t="inlineStr">
        <is>
          <t>M14</t>
        </is>
      </c>
    </row>
    <row r="7" ht="15" customHeight="1" s="38">
      <c r="A7" s="51" t="inlineStr">
        <is>
          <t>/student</t>
        </is>
      </c>
      <c r="B7" s="51" t="inlineStr">
        <is>
          <t>Student home</t>
        </is>
      </c>
      <c r="C7" s="51" t="inlineStr">
        <is>
          <t>Student</t>
        </is>
      </c>
      <c r="D7" s="51" t="inlineStr">
        <is>
          <t>Mastery rings, today's drill, streak, recent wins</t>
        </is>
      </c>
      <c r="E7" s="51" t="inlineStr">
        <is>
          <t>M14</t>
        </is>
      </c>
    </row>
    <row r="8" ht="15" customHeight="1" s="38">
      <c r="A8" s="51" t="inlineStr">
        <is>
          <t>/subjects/:id</t>
        </is>
      </c>
      <c r="B8" s="51" t="inlineStr">
        <is>
          <t>Subject overview</t>
        </is>
      </c>
      <c r="C8" s="51" t="inlineStr">
        <is>
          <t>Parent</t>
        </is>
      </c>
      <c r="D8" s="51" t="inlineStr">
        <is>
          <t>Chapter list with coverage %, tested/untested, weak concept count</t>
        </is>
      </c>
      <c r="E8" s="51" t="inlineStr">
        <is>
          <t>M04</t>
        </is>
      </c>
    </row>
    <row r="9" ht="15" customHeight="1" s="38">
      <c r="A9" s="51" t="inlineStr">
        <is>
          <t>/chapters/:id</t>
        </is>
      </c>
      <c r="B9" s="51" t="inlineStr">
        <is>
          <t>Chapter detail</t>
        </is>
      </c>
      <c r="C9" s="51" t="inlineStr">
        <is>
          <t>Both</t>
        </is>
      </c>
      <c r="D9" s="51" t="inlineStr">
        <is>
          <t>Concepts, scope IN/OUT, mastery per concept, generate chapter paper</t>
        </is>
      </c>
      <c r="E9" s="51" t="inlineStr">
        <is>
          <t>M04</t>
        </is>
      </c>
    </row>
    <row r="10" ht="15" customHeight="1" s="38">
      <c r="A10" s="51" t="inlineStr">
        <is>
          <t>/generate</t>
        </is>
      </c>
      <c r="B10" s="51" t="inlineStr">
        <is>
          <t>Paper generator</t>
        </is>
      </c>
      <c r="C10" s="51" t="inlineStr">
        <is>
          <t>Parent</t>
        </is>
      </c>
      <c r="D10" s="51" t="inlineStr">
        <is>
          <t>Blueprint picker, chapters, marks/duration, weighting preview, theme</t>
        </is>
      </c>
      <c r="E10" s="51" t="inlineStr">
        <is>
          <t>M06</t>
        </is>
      </c>
    </row>
    <row r="11" ht="15" customHeight="1" s="38">
      <c r="A11" s="51" t="inlineStr">
        <is>
          <t>/papers</t>
        </is>
      </c>
      <c r="B11" s="51" t="inlineStr">
        <is>
          <t>Paper library</t>
        </is>
      </c>
      <c r="C11" s="51" t="inlineStr">
        <is>
          <t>Parent</t>
        </is>
      </c>
      <c r="D11" s="51" t="inlineStr">
        <is>
          <t>All generated papers, status (not attempted / attempted / evaluated), re-download</t>
        </is>
      </c>
      <c r="E11" s="51" t="inlineStr">
        <is>
          <t>M07</t>
        </is>
      </c>
    </row>
    <row r="12" ht="15" customHeight="1" s="38">
      <c r="A12" s="51" t="inlineStr">
        <is>
          <t>/papers/:id</t>
        </is>
      </c>
      <c r="B12" s="51" t="inlineStr">
        <is>
          <t>Paper detail</t>
        </is>
      </c>
      <c r="C12" s="51" t="inlineStr">
        <is>
          <t>Parent</t>
        </is>
      </c>
      <c r="D12" s="51" t="inlineStr">
        <is>
          <t>Question list, coverage table, download paper + key, start online attempt</t>
        </is>
      </c>
      <c r="E12" s="51" t="inlineStr">
        <is>
          <t>M07</t>
        </is>
      </c>
    </row>
    <row r="13" ht="15" customHeight="1" s="38">
      <c r="A13" s="51" t="inlineStr">
        <is>
          <t>/papers/:id/print</t>
        </is>
      </c>
      <c r="B13" s="51" t="inlineStr">
        <is>
          <t>Print view</t>
        </is>
      </c>
      <c r="C13" s="51" t="inlineStr">
        <is>
          <t>Parent</t>
        </is>
      </c>
      <c r="D13" s="51" t="inlineStr">
        <is>
          <t>Print-exact HTML mirror of the PDF with rough-work column</t>
        </is>
      </c>
      <c r="E13" s="51" t="inlineStr">
        <is>
          <t>M07</t>
        </is>
      </c>
    </row>
    <row r="14" ht="15" customHeight="1" s="38">
      <c r="A14" s="51" t="inlineStr">
        <is>
          <t>/attempt/:id</t>
        </is>
      </c>
      <c r="B14" s="51" t="inlineStr">
        <is>
          <t>Test runner</t>
        </is>
      </c>
      <c r="C14" s="51" t="inlineStr">
        <is>
          <t>Student</t>
        </is>
      </c>
      <c r="D14" s="51" t="inlineStr">
        <is>
          <t>Timer, section nav, answer inputs, flag question, autosave indicator</t>
        </is>
      </c>
      <c r="E14" s="51" t="inlineStr">
        <is>
          <t>M08</t>
        </is>
      </c>
    </row>
    <row r="15" ht="15" customHeight="1" s="38">
      <c r="A15" s="51" t="inlineStr">
        <is>
          <t>/attempt/:id/review</t>
        </is>
      </c>
      <c r="B15" s="51" t="inlineStr">
        <is>
          <t>Pre-submit review</t>
        </is>
      </c>
      <c r="C15" s="51" t="inlineStr">
        <is>
          <t>Student</t>
        </is>
      </c>
      <c r="D15" s="51" t="inlineStr">
        <is>
          <t>Answered/blank/flagged grid, blank warning, submit</t>
        </is>
      </c>
      <c r="E15" s="51" t="inlineStr">
        <is>
          <t>M08</t>
        </is>
      </c>
    </row>
    <row r="16" ht="15" customHeight="1" s="38">
      <c r="A16" s="51" t="inlineStr">
        <is>
          <t>/upload</t>
        </is>
      </c>
      <c r="B16" s="51" t="inlineStr">
        <is>
          <t>Upload attempt</t>
        </is>
      </c>
      <c r="C16" s="51" t="inlineStr">
        <is>
          <t>Parent</t>
        </is>
      </c>
      <c r="D16" s="51" t="inlineStr">
        <is>
          <t>Drag photos/PDF, page reorder, map to paper, start extraction</t>
        </is>
      </c>
      <c r="E16" s="51" t="inlineStr">
        <is>
          <t>M10</t>
        </is>
      </c>
    </row>
    <row r="17" ht="15" customHeight="1" s="38">
      <c r="A17" s="51" t="inlineStr">
        <is>
          <t>/upload/:id/verify</t>
        </is>
      </c>
      <c r="B17" s="51" t="inlineStr">
        <is>
          <t>OCR verification</t>
        </is>
      </c>
      <c r="C17" s="51" t="inlineStr">
        <is>
          <t>Parent</t>
        </is>
      </c>
      <c r="D17" s="51" t="inlineStr">
        <is>
          <t>Image crop beside transcribed text, confidence flags, fix mapping</t>
        </is>
      </c>
      <c r="E17" s="51" t="inlineStr">
        <is>
          <t>M10</t>
        </is>
      </c>
    </row>
    <row r="18" ht="15" customHeight="1" s="38">
      <c r="A18" s="51" t="inlineStr">
        <is>
          <t>/evaluate/:attemptId</t>
        </is>
      </c>
      <c r="B18" s="51" t="inlineStr">
        <is>
          <t>Evaluation workspace</t>
        </is>
      </c>
      <c r="C18" s="51" t="inlineStr">
        <is>
          <t>Parent</t>
        </is>
      </c>
      <c r="D18" s="51" t="inlineStr">
        <is>
          <t>Per-question: answer, expected, AI marks, error type, knowledge-known toggle, feedback; confirm all</t>
        </is>
      </c>
      <c r="E18" s="51" t="inlineStr">
        <is>
          <t>M09</t>
        </is>
      </c>
    </row>
    <row r="19" ht="15" customHeight="1" s="38">
      <c r="A19" s="51" t="inlineStr">
        <is>
          <t>/evaluation/:id/report</t>
        </is>
      </c>
      <c r="B19" s="51" t="inlineStr">
        <is>
          <t>Diagnosis report</t>
        </is>
      </c>
      <c r="C19" s="51" t="inlineStr">
        <is>
          <t>Parent</t>
        </is>
      </c>
      <c r="D19" s="51" t="inlineStr">
        <is>
          <t>Score, grade, Delivery Gap, error inventory, patterns, habits, 3 actions, parent action</t>
        </is>
      </c>
      <c r="E19" s="51" t="inlineStr">
        <is>
          <t>M11</t>
        </is>
      </c>
    </row>
    <row r="20" ht="15" customHeight="1" s="38">
      <c r="A20" s="51" t="inlineStr">
        <is>
          <t>/tracker/:studentId</t>
        </is>
      </c>
      <c r="B20" s="51" t="inlineStr">
        <is>
          <t>Concept tracker</t>
        </is>
      </c>
      <c r="C20" s="51" t="inlineStr">
        <is>
          <t>Parent</t>
        </is>
      </c>
      <c r="D20" s="51" t="inlineStr">
        <is>
          <t>Cumulative table per subject with attempts, trend arrows, status, filters, export</t>
        </is>
      </c>
      <c r="E20" s="51" t="inlineStr">
        <is>
          <t>M12</t>
        </is>
      </c>
    </row>
    <row r="21" ht="15" customHeight="1" s="38">
      <c r="A21" s="51" t="inlineStr">
        <is>
          <t>/remediation</t>
        </is>
      </c>
      <c r="B21" s="51" t="inlineStr">
        <is>
          <t>Remediation hub</t>
        </is>
      </c>
      <c r="C21" s="51" t="inlineStr">
        <is>
          <t>Both</t>
        </is>
      </c>
      <c r="D21" s="51" t="inlineStr">
        <is>
          <t>Open drills, refresher + solved examples + 3 practice questions, attempt now</t>
        </is>
      </c>
      <c r="E21" s="51" t="inlineStr">
        <is>
          <t>M13</t>
        </is>
      </c>
    </row>
    <row r="22" ht="15" customHeight="1" s="38">
      <c r="A22" s="51" t="inlineStr">
        <is>
          <t>/plan</t>
        </is>
      </c>
      <c r="B22" s="51" t="inlineStr">
        <is>
          <t>Study planner</t>
        </is>
      </c>
      <c r="C22" s="51" t="inlineStr">
        <is>
          <t>Both</t>
        </is>
      </c>
      <c r="D22" s="51" t="inlineStr">
        <is>
          <t>7-day plan, exam countdown, daily tasks, regenerate</t>
        </is>
      </c>
      <c r="E22" s="51" t="inlineStr">
        <is>
          <t>M15</t>
        </is>
      </c>
    </row>
    <row r="23" ht="15" customHeight="1" s="38">
      <c r="A23" s="51" t="inlineStr">
        <is>
          <t>/summary/weekly</t>
        </is>
      </c>
      <c r="B23" s="51" t="inlineStr">
        <is>
          <t>Weekly summary</t>
        </is>
      </c>
      <c r="C23" s="51" t="inlineStr">
        <is>
          <t>Parent</t>
        </is>
      </c>
      <c r="D23" s="51" t="inlineStr">
        <is>
          <t>Best subject, most improved, urgent concept, 7-day plan, cumulative stats</t>
        </is>
      </c>
      <c r="E23" s="51" t="inlineStr">
        <is>
          <t>M14</t>
        </is>
      </c>
    </row>
    <row r="24" ht="15" customHeight="1" s="38">
      <c r="A24" s="51" t="inlineStr">
        <is>
          <t>/settings</t>
        </is>
      </c>
      <c r="B24" s="51" t="inlineStr">
        <is>
          <t>Settings</t>
        </is>
      </c>
      <c r="C24" s="51" t="inlineStr">
        <is>
          <t>Parent</t>
        </is>
      </c>
      <c r="D24" s="51" t="inlineStr">
        <is>
          <t>Profile, students, notifications, language, privacy: export and delete</t>
        </is>
      </c>
      <c r="E24" s="51" t="inlineStr">
        <is>
          <t>M20</t>
        </is>
      </c>
    </row>
    <row r="25" ht="15" customHeight="1" s="38">
      <c r="A25" s="51" t="inlineStr">
        <is>
          <t>/admin/syllabus</t>
        </is>
      </c>
      <c r="B25" s="51" t="inlineStr">
        <is>
          <t>Syllabus admin</t>
        </is>
      </c>
      <c r="C25" s="51" t="inlineStr">
        <is>
          <t>Admin</t>
        </is>
      </c>
      <c r="D25" s="51" t="inlineStr">
        <is>
          <t>Board/class/subject/chapter/concept CRUD, scope authoring, source upload</t>
        </is>
      </c>
      <c r="E25" s="51" t="inlineStr">
        <is>
          <t>M17</t>
        </is>
      </c>
    </row>
    <row r="26" ht="15" customHeight="1" s="38">
      <c r="A26" s="51" t="inlineStr">
        <is>
          <t>/admin/questions</t>
        </is>
      </c>
      <c r="B26" s="51" t="inlineStr">
        <is>
          <t>Question bank admin</t>
        </is>
      </c>
      <c r="C26" s="51" t="inlineStr">
        <is>
          <t>Admin</t>
        </is>
      </c>
      <c r="D26" s="51" t="inlineStr">
        <is>
          <t>Filterable bank, editor, bulk import, AI generate, review queue</t>
        </is>
      </c>
      <c r="E26" s="51" t="inlineStr">
        <is>
          <t>M17</t>
        </is>
      </c>
    </row>
    <row r="27" ht="15" customHeight="1" s="38">
      <c r="A27" s="51" t="inlineStr">
        <is>
          <t>/admin/usage</t>
        </is>
      </c>
      <c r="B27" s="51" t="inlineStr">
        <is>
          <t>AI usage &amp; cost</t>
        </is>
      </c>
      <c r="C27" s="51" t="inlineStr">
        <is>
          <t>Admin</t>
        </is>
      </c>
      <c r="D27" s="51" t="inlineStr">
        <is>
          <t>Tokens, cost by feature and day, rate-limit status, alerts</t>
        </is>
      </c>
      <c r="E27" s="51" t="inlineStr">
        <is>
          <t>M19</t>
        </is>
      </c>
    </row>
  </sheetData>
  <autoFilter ref="A3:E27"/>
  <mergeCells count="1">
    <mergeCell ref="A1:E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H16"/>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8" customWidth="1" style="38" min="1" max="1"/>
    <col width="26" customWidth="1" style="38" min="2" max="3"/>
    <col width="22" customWidth="1" style="38" min="4" max="4"/>
    <col width="46" customWidth="1" style="38" min="5" max="5"/>
    <col width="44" customWidth="1" style="38" min="6" max="6"/>
    <col width="54" customWidth="1" style="38" min="7" max="7"/>
    <col width="34" customWidth="1" style="38" min="8" max="8"/>
  </cols>
  <sheetData>
    <row r="1" ht="24" customHeight="1" s="38">
      <c r="A1" s="42" t="inlineStr">
        <is>
          <t>07  AI Function Catalogue  —  the highest-risk, highest-value tab. Every AI output is a proposal; a human confirms anything that changes a score.</t>
        </is>
      </c>
    </row>
    <row r="3" ht="30" customHeight="1" s="38">
      <c r="A3" s="2" t="inlineStr">
        <is>
          <t>ID</t>
        </is>
      </c>
      <c r="B3" s="2" t="inlineStr">
        <is>
          <t>Function</t>
        </is>
      </c>
      <c r="C3" s="2" t="inlineStr">
        <is>
          <t>Trigger</t>
        </is>
      </c>
      <c r="D3" s="2" t="inlineStr">
        <is>
          <t>Model Tier</t>
        </is>
      </c>
      <c r="E3" s="2" t="inlineStr">
        <is>
          <t>Inputs</t>
        </is>
      </c>
      <c r="F3" s="2" t="inlineStr">
        <is>
          <t>Output Contract</t>
        </is>
      </c>
      <c r="G3" s="2" t="inlineStr">
        <is>
          <t>Guardrails</t>
        </is>
      </c>
      <c r="H3" s="2" t="inlineStr">
        <is>
          <t>Fallback When AI Fails</t>
        </is>
      </c>
    </row>
    <row r="4" ht="23.25" customHeight="1" s="38">
      <c r="A4" s="51" t="inlineStr">
        <is>
          <t>AI-01</t>
        </is>
      </c>
      <c r="B4" s="51" t="inlineStr">
        <is>
          <t>Question generation</t>
        </is>
      </c>
      <c r="C4" s="51" t="inlineStr">
        <is>
          <t>Admin asks for N questions on a concept</t>
        </is>
      </c>
      <c r="D4" s="51" t="inlineStr">
        <is>
          <t>Strong model (Claude Sonnet/Opus class)</t>
        </is>
      </c>
      <c r="E4" s="51" t="inlineStr">
        <is>
          <t>Concept record, chapter IN/OUT scope, source text extract, Bloom, difficulty, marks, 3 exemplar questions</t>
        </is>
      </c>
      <c r="F4" s="51" t="inlineStr">
        <is>
          <t>Strict JSON: text, options, answer, hint, step_marks[], bloom, tags</t>
        </is>
      </c>
      <c r="G4" s="51" t="inlineStr">
        <is>
          <t>Must cite which IN-scope item it tests; reject if it uses an OUT-scope idea; never invent a formula outside the chapter</t>
        </is>
      </c>
      <c r="H4" s="51" t="inlineStr">
        <is>
          <t>Admin writes the question manually; queue stays draft</t>
        </is>
      </c>
    </row>
    <row r="5" ht="23.25" customHeight="1" s="38">
      <c r="A5" s="51" t="inlineStr">
        <is>
          <t>AI-02</t>
        </is>
      </c>
      <c r="B5" s="51" t="inlineStr">
        <is>
          <t>Distractor quality check</t>
        </is>
      </c>
      <c r="C5" s="51" t="inlineStr">
        <is>
          <t>On question save</t>
        </is>
      </c>
      <c r="D5" s="51" t="inlineStr">
        <is>
          <t>Cheap model</t>
        </is>
      </c>
      <c r="E5" s="51" t="inlineStr">
        <is>
          <t>Question, options, answer</t>
        </is>
      </c>
      <c r="F5" s="51" t="inlineStr">
        <is>
          <t>JSON: plausible(bool), issues[]</t>
        </is>
      </c>
      <c r="G5" s="51" t="inlineStr">
        <is>
          <t>Flags giveaway distractors and two-correct-answers cases; advisory only, never blocks</t>
        </is>
      </c>
      <c r="H5" s="51" t="inlineStr">
        <is>
          <t>Skip check, mark for human review</t>
        </is>
      </c>
    </row>
    <row r="6" ht="15" customHeight="1" s="38">
      <c r="A6" s="51" t="inlineStr">
        <is>
          <t>AI-03</t>
        </is>
      </c>
      <c r="B6" s="51" t="inlineStr">
        <is>
          <t>Duplicate detection</t>
        </is>
      </c>
      <c r="C6" s="51" t="inlineStr">
        <is>
          <t>On question save</t>
        </is>
      </c>
      <c r="D6" s="51" t="inlineStr">
        <is>
          <t>Embedding model</t>
        </is>
      </c>
      <c r="E6" s="51" t="inlineStr">
        <is>
          <t>Question text</t>
        </is>
      </c>
      <c r="F6" s="51" t="inlineStr">
        <is>
          <t>Similarity scores vs bank</t>
        </is>
      </c>
      <c r="G6" s="51" t="inlineStr">
        <is>
          <t>Warn above 0.90; exact hash match blocks the save</t>
        </is>
      </c>
      <c r="H6" s="51" t="inlineStr">
        <is>
          <t>Hash-only comparison</t>
        </is>
      </c>
    </row>
    <row r="7" ht="23.25" customHeight="1" s="38">
      <c r="A7" s="51" t="inlineStr">
        <is>
          <t>AI-04</t>
        </is>
      </c>
      <c r="B7" s="51" t="inlineStr">
        <is>
          <t>Objective answer normalisation</t>
        </is>
      </c>
      <c r="C7" s="51" t="inlineStr">
        <is>
          <t>Auto-scoring</t>
        </is>
      </c>
      <c r="D7" s="51" t="inlineStr">
        <is>
          <t>Deterministic code, no AI</t>
        </is>
      </c>
      <c r="E7" s="51" t="inlineStr">
        <is>
          <t>Response, expected answer</t>
        </is>
      </c>
      <c r="F7" s="51" t="inlineStr">
        <is>
          <t>Match/no-match</t>
        </is>
      </c>
      <c r="G7" s="51" t="inlineStr">
        <is>
          <t>Rule-based: case, whitespace, units, symbols, Indian vs international numerals; AI is not used where code suffices</t>
        </is>
      </c>
      <c r="H7" s="51" t="inlineStr">
        <is>
          <t>n/a</t>
        </is>
      </c>
    </row>
    <row r="8" ht="23.25" customHeight="1" s="38">
      <c r="A8" s="51" t="inlineStr">
        <is>
          <t>AI-05</t>
        </is>
      </c>
      <c r="B8" s="51" t="inlineStr">
        <is>
          <t>Subjective answer grading</t>
        </is>
      </c>
      <c r="C8" s="51" t="inlineStr">
        <is>
          <t>Evaluation of short/long answers</t>
        </is>
      </c>
      <c r="D8" s="51" t="inlineStr">
        <is>
          <t>Strong model</t>
        </is>
      </c>
      <c r="E8" s="51" t="inlineStr">
        <is>
          <t>Question, marking scheme steps, expected answer, student response, subject conventions</t>
        </is>
      </c>
      <c r="F8" s="51" t="inlineStr">
        <is>
          <t>JSON: marks per step, total, error_type, one-line feedback, confidence</t>
        </is>
      </c>
      <c r="G8" s="51" t="inlineStr">
        <is>
          <t>Never final: human confirms. Must justify each step mark. Refuses to grade when the response is unreadable rather than guessing</t>
        </is>
      </c>
      <c r="H8" s="51" t="inlineStr">
        <is>
          <t>Item marked 'needs manual marking'</t>
        </is>
      </c>
    </row>
    <row r="9" ht="23.25" customHeight="1" s="38">
      <c r="A9" s="51" t="inlineStr">
        <is>
          <t>AI-06</t>
        </is>
      </c>
      <c r="B9" s="51" t="inlineStr">
        <is>
          <t>Handwriting transcription</t>
        </is>
      </c>
      <c r="C9" s="51" t="inlineStr">
        <is>
          <t>Uploaded scan</t>
        </is>
      </c>
      <c r="D9" s="51" t="inlineStr">
        <is>
          <t>Vision model</t>
        </is>
      </c>
      <c r="E9" s="51" t="inlineStr">
        <is>
          <t>Page images, expected question numbers</t>
        </is>
      </c>
      <c r="F9" s="51" t="inlineStr">
        <is>
          <t>JSON per question: text, confidence, bounding box</t>
        </is>
      </c>
      <c r="G9" s="51" t="inlineStr">
        <is>
          <t>Below-threshold confidence must be confirmed by the parent before scoring; Telugu script must be preserved, never romanised</t>
        </is>
      </c>
      <c r="H9" s="51" t="inlineStr">
        <is>
          <t>Parent types the answer manually</t>
        </is>
      </c>
    </row>
    <row r="10" ht="23.25" customHeight="1" s="38">
      <c r="A10" s="51" t="inlineStr">
        <is>
          <t>AI-07</t>
        </is>
      </c>
      <c r="B10" s="51" t="inlineStr">
        <is>
          <t>Error pattern classification</t>
        </is>
      </c>
      <c r="C10" s="51" t="inlineStr">
        <is>
          <t>After marks are confirmed</t>
        </is>
      </c>
      <c r="D10" s="51" t="inlineStr">
        <is>
          <t>Mid-tier model</t>
        </is>
      </c>
      <c r="E10" s="51" t="inlineStr">
        <is>
          <t>Question, response, marks lost, pattern library definitions</t>
        </is>
      </c>
      <c r="F10" s="51" t="inlineStr">
        <is>
          <t>Pattern codes with a short rationale</t>
        </is>
      </c>
      <c r="G10" s="51" t="inlineStr">
        <is>
          <t>Only picks from the stored pattern library; may return none; cannot invent new patterns</t>
        </is>
      </c>
      <c r="H10" s="51" t="inlineStr">
        <is>
          <t>Leave unclassified; surfaces in review</t>
        </is>
      </c>
    </row>
    <row r="11" ht="23.25" customHeight="1" s="38">
      <c r="A11" s="51" t="inlineStr">
        <is>
          <t>AI-08</t>
        </is>
      </c>
      <c r="B11" s="51" t="inlineStr">
        <is>
          <t>Feedback line writing</t>
        </is>
      </c>
      <c r="C11" s="51" t="inlineStr">
        <is>
          <t>Per lost-mark question</t>
        </is>
      </c>
      <c r="D11" s="51" t="inlineStr">
        <is>
          <t>Mid-tier model</t>
        </is>
      </c>
      <c r="E11" s="51" t="inlineStr">
        <is>
          <t>Question, error type, correct approach</t>
        </is>
      </c>
      <c r="F11" s="51" t="inlineStr">
        <is>
          <t>One sentence, max 25 words</t>
        </is>
      </c>
      <c r="G11" s="51" t="inlineStr">
        <is>
          <t>Specific and actionable; no praise padding, no shaming; names the concept and the fix</t>
        </is>
      </c>
      <c r="H11" s="51" t="inlineStr">
        <is>
          <t>Template feedback from error type</t>
        </is>
      </c>
    </row>
    <row r="12" ht="23.25" customHeight="1" s="38">
      <c r="A12" s="51" t="inlineStr">
        <is>
          <t>AI-09</t>
        </is>
      </c>
      <c r="B12" s="51" t="inlineStr">
        <is>
          <t>Remediation pack authoring</t>
        </is>
      </c>
      <c r="C12" s="51" t="inlineStr">
        <is>
          <t>Concept flagged PRIORITY</t>
        </is>
      </c>
      <c r="D12" s="51" t="inlineStr">
        <is>
          <t>Strong model</t>
        </is>
      </c>
      <c r="E12" s="51" t="inlineStr">
        <is>
          <t>Concept idea/rule/example, past wrong answers, class level</t>
        </is>
      </c>
      <c r="F12" s="51" t="inlineStr">
        <is>
          <t>JSON: refresher (2-3 lines), 2 worked examples with steps, 3 practice questions with answers</t>
        </is>
      </c>
      <c r="G12" s="51" t="inlineStr">
        <is>
          <t>Examples must follow the stored marking-scheme format; cached per concept after one human review</t>
        </is>
      </c>
      <c r="H12" s="51" t="inlineStr">
        <is>
          <t>Serve existing bank questions with no narrative</t>
        </is>
      </c>
    </row>
    <row r="13" ht="23.25" customHeight="1" s="38">
      <c r="A13" s="51" t="inlineStr">
        <is>
          <t>AI-10</t>
        </is>
      </c>
      <c r="B13" s="51" t="inlineStr">
        <is>
          <t>Diagnosis narrative</t>
        </is>
      </c>
      <c r="C13" s="51" t="inlineStr">
        <is>
          <t>Report generation</t>
        </is>
      </c>
      <c r="D13" s="51" t="inlineStr">
        <is>
          <t>Strong model</t>
        </is>
      </c>
      <c r="E13" s="51" t="inlineStr">
        <is>
          <t>Evaluation items, pattern hits, habit ratings, tracker history</t>
        </is>
      </c>
      <c r="F13" s="51" t="inlineStr">
        <is>
          <t>Report sections: what happened, why, three ranked actions, one parent action</t>
        </is>
      </c>
      <c r="G13" s="51" t="inlineStr">
        <is>
          <t>All numbers passed in as data — the model never computes scores; parent action must be a single concrete task</t>
        </is>
      </c>
      <c r="H13" s="51" t="inlineStr">
        <is>
          <t>Rule-based template report</t>
        </is>
      </c>
    </row>
    <row r="14" ht="23.25" customHeight="1" s="38">
      <c r="A14" s="51" t="inlineStr">
        <is>
          <t>AI-11</t>
        </is>
      </c>
      <c r="B14" s="51" t="inlineStr">
        <is>
          <t>Weekly summary</t>
        </is>
      </c>
      <c r="C14" s="51" t="inlineStr">
        <is>
          <t>Every 7 active days</t>
        </is>
      </c>
      <c r="D14" s="51" t="inlineStr">
        <is>
          <t>Mid-tier model</t>
        </is>
      </c>
      <c r="E14" s="51" t="inlineStr">
        <is>
          <t>Week's evaluations, tracker deltas, plan completion</t>
        </is>
      </c>
      <c r="F14" s="51" t="inlineStr">
        <is>
          <t>Summary sections + 7-day plan</t>
        </is>
      </c>
      <c r="G14" s="51" t="inlineStr">
        <is>
          <t>Plan must draw only from concepts currently flagged; no invented dates</t>
        </is>
      </c>
      <c r="H14" s="51" t="inlineStr">
        <is>
          <t>Rule-based summary from tracker deltas</t>
        </is>
      </c>
    </row>
    <row r="15" ht="23.25" customHeight="1" s="38">
      <c r="A15" s="51" t="inlineStr">
        <is>
          <t>AI-12</t>
        </is>
      </c>
      <c r="B15" s="51" t="inlineStr">
        <is>
          <t>Syllabus scope extraction</t>
        </is>
      </c>
      <c r="C15" s="51" t="inlineStr">
        <is>
          <t>Admin uploads a chapter PDF</t>
        </is>
      </c>
      <c r="D15" s="51" t="inlineStr">
        <is>
          <t>Strong model + PDF text</t>
        </is>
      </c>
      <c r="E15" s="51" t="inlineStr">
        <is>
          <t>Chapter text, existing taxonomy</t>
        </is>
      </c>
      <c r="F15" s="51" t="inlineStr">
        <is>
          <t>Draft concept list + IN/OUT scope bullets with page refs</t>
        </is>
      </c>
      <c r="G15" s="51" t="inlineStr">
        <is>
          <t>Draft only, admin approves; must quote page numbers; explicitly lists what is OUT of scope</t>
        </is>
      </c>
      <c r="H15" s="51" t="inlineStr">
        <is>
          <t>Admin authors scope manually</t>
        </is>
      </c>
    </row>
    <row r="16">
      <c r="A16" s="51" t="inlineStr">
        <is>
          <t>AI-13</t>
        </is>
      </c>
      <c r="B16" s="51" t="inlineStr">
        <is>
          <t>Per-question worked explanation</t>
        </is>
      </c>
      <c r="C16" s="51" t="inlineStr">
        <is>
          <t>Student asks for an explanation on a confirmed result</t>
        </is>
      </c>
      <c r="D16" s="51" t="inlineStr">
        <is>
          <t>Strong model (a confidently wrong explanation shown to a child is worse than none)</t>
        </is>
      </c>
    </row>
  </sheetData>
  <autoFilter ref="A3:H15"/>
  <mergeCells count="1">
    <mergeCell ref="A1:H1"/>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27"/>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40" customWidth="1" style="38" min="1" max="1"/>
    <col width="46" customWidth="1" style="38" min="2" max="2"/>
    <col width="52" customWidth="1" style="38" min="3" max="3"/>
    <col width="20" customWidth="1" style="38" min="4" max="4"/>
    <col width="12" customWidth="1" style="38" min="5" max="5"/>
    <col width="40" customWidth="1" style="38" min="6" max="6"/>
  </cols>
  <sheetData>
    <row r="1" ht="24" customHeight="1" s="38">
      <c r="A1" s="42" t="inlineStr">
        <is>
          <t>08  Gap Analysis  —  Grok prototype (grok-workspace.zip) vs the target product.</t>
        </is>
      </c>
    </row>
    <row r="3" ht="30" customHeight="1" s="38">
      <c r="A3" s="2" t="inlineStr">
        <is>
          <t>Capability</t>
        </is>
      </c>
      <c r="B3" s="2" t="inlineStr">
        <is>
          <t>State in Prototype</t>
        </is>
      </c>
      <c r="C3" s="2" t="inlineStr">
        <is>
          <t>Action Required</t>
        </is>
      </c>
      <c r="D3" s="2" t="inlineStr">
        <is>
          <t>Reuse</t>
        </is>
      </c>
      <c r="E3" s="2" t="inlineStr">
        <is>
          <t>Module</t>
        </is>
      </c>
      <c r="F3" s="2" t="inlineStr">
        <is>
          <t>Comment</t>
        </is>
      </c>
    </row>
    <row r="4" ht="15" customHeight="1" s="38">
      <c r="A4" s="51" t="inlineStr">
        <is>
          <t>Project scaffold (TanStack Start, Vite, TS)</t>
        </is>
      </c>
      <c r="B4" s="51" t="inlineStr">
        <is>
          <t>Present and working</t>
        </is>
      </c>
      <c r="C4" s="51" t="inlineStr">
        <is>
          <t>Keep as-is</t>
        </is>
      </c>
      <c r="D4" s="51" t="inlineStr">
        <is>
          <t>Reuse 100%</t>
        </is>
      </c>
      <c r="E4" s="51" t="inlineStr">
        <is>
          <t>M01</t>
        </is>
      </c>
      <c r="F4" s="51" t="inlineStr">
        <is>
          <t>Saves ~3 days</t>
        </is>
      </c>
    </row>
    <row r="5" ht="23.25" customHeight="1" s="38">
      <c r="A5" s="51" t="inlineStr">
        <is>
          <t>UI kit (Tailwind v4 + shadcn/ui, app shell, cards, tabs)</t>
        </is>
      </c>
      <c r="B5" s="51" t="inlineStr">
        <is>
          <t>Present, good quality</t>
        </is>
      </c>
      <c r="C5" s="51" t="inlineStr">
        <is>
          <t>Extend with print styles and report components</t>
        </is>
      </c>
      <c r="D5" s="51" t="inlineStr">
        <is>
          <t>Reuse 90%</t>
        </is>
      </c>
      <c r="E5" s="51" t="inlineStr">
        <is>
          <t>M01</t>
        </is>
      </c>
      <c r="F5" s="51" t="inlineStr">
        <is>
          <t>Saves ~2 days</t>
        </is>
      </c>
    </row>
    <row r="6" ht="15" customHeight="1" s="38">
      <c r="A6" s="51" t="inlineStr">
        <is>
          <t>Auth (better-auth, email/password, gates)</t>
        </is>
      </c>
      <c r="B6" s="51" t="inlineStr">
        <is>
          <t>Present</t>
        </is>
      </c>
      <c r="C6" s="51" t="inlineStr">
        <is>
          <t>Add roles, household, student switching</t>
        </is>
      </c>
      <c r="D6" s="51" t="inlineStr">
        <is>
          <t>Reuse 60%</t>
        </is>
      </c>
      <c r="E6" s="51" t="inlineStr">
        <is>
          <t>M02</t>
        </is>
      </c>
      <c r="F6" s="51" t="inlineStr">
        <is>
          <t>Roles are the missing piece</t>
        </is>
      </c>
    </row>
    <row r="7" ht="23.25" customHeight="1" s="38">
      <c r="A7" s="51" t="inlineStr">
        <is>
          <t>Database (Neon/PGlite, Kysely, migration runner)</t>
        </is>
      </c>
      <c r="B7" s="51" t="inlineStr">
        <is>
          <t>Present</t>
        </is>
      </c>
      <c r="C7" s="51" t="inlineStr">
        <is>
          <t>Replace toy schema with the 26-table model</t>
        </is>
      </c>
      <c r="D7" s="51" t="inlineStr">
        <is>
          <t>Reuse 50%</t>
        </is>
      </c>
      <c r="E7" s="51" t="inlineStr">
        <is>
          <t>M03</t>
        </is>
      </c>
      <c r="F7" s="51" t="inlineStr">
        <is>
          <t>Plumbing reusable, schema is not</t>
        </is>
      </c>
    </row>
    <row r="8" ht="15" customHeight="1" s="38">
      <c r="A8" s="51" t="inlineStr">
        <is>
          <t>Curriculum data</t>
        </is>
      </c>
      <c r="B8" s="51" t="inlineStr">
        <is>
          <t>Hardcoded TypeScript, Class 7 Maths, 15 chapters</t>
        </is>
      </c>
      <c r="C8" s="51" t="inlineStr">
        <is>
          <t>Move to DB, add scope IN/OUT, sources, other subjects</t>
        </is>
      </c>
      <c r="D8" s="51" t="inlineStr">
        <is>
          <t>Reuse as seed data</t>
        </is>
      </c>
      <c r="E8" s="51" t="inlineStr">
        <is>
          <t>M04</t>
        </is>
      </c>
      <c r="F8" s="51" t="inlineStr">
        <is>
          <t>Good seed content; wrong storage layer</t>
        </is>
      </c>
    </row>
    <row r="9" ht="23.25" customHeight="1" s="38">
      <c r="A9" s="51" t="inlineStr">
        <is>
          <t>Question bank</t>
        </is>
      </c>
      <c r="B9" s="51" t="inlineStr">
        <is>
          <t>75 hardcoded questions, 5 types, Bloom + difficulty + marks</t>
        </is>
      </c>
      <c r="C9" s="51" t="inlineStr">
        <is>
          <t>Move to DB, add step marks, language, status, usage history</t>
        </is>
      </c>
      <c r="D9" s="51" t="inlineStr">
        <is>
          <t>Reuse as seed data</t>
        </is>
      </c>
      <c r="E9" s="51" t="inlineStr">
        <is>
          <t>M05</t>
        </is>
      </c>
      <c r="F9" s="51" t="inlineStr">
        <is>
          <t>Metadata model is already close to right</t>
        </is>
      </c>
    </row>
    <row r="10" ht="23.25" customHeight="1" s="38">
      <c r="A10" s="51" t="inlineStr">
        <is>
          <t>Scoring (MCQ, true/false, fill-in with normalisation)</t>
        </is>
      </c>
      <c r="B10" s="51" t="inlineStr">
        <is>
          <t>Present and reasonable</t>
        </is>
      </c>
      <c r="C10" s="51" t="inlineStr">
        <is>
          <t>Extend normalisation, add subjective grading</t>
        </is>
      </c>
      <c r="D10" s="51" t="inlineStr">
        <is>
          <t>Reuse 70%</t>
        </is>
      </c>
      <c r="E10" s="51" t="inlineStr">
        <is>
          <t>M09</t>
        </is>
      </c>
      <c r="F10" s="51" t="inlineStr">
        <is>
          <t>normalizeAnswer() is a genuinely useful head start</t>
        </is>
      </c>
    </row>
    <row r="11" ht="23.25" customHeight="1" s="38">
      <c r="A11" s="51" t="inlineStr">
        <is>
          <t>Mastery engine (attempts/correct, thresholds, status)</t>
        </is>
      </c>
      <c r="B11" s="51" t="inlineStr">
        <is>
          <t>Present</t>
        </is>
      </c>
      <c r="C11" s="51" t="inlineStr">
        <is>
          <t>Replace derived-only model with append-only ledger, add trend, priority rules</t>
        </is>
      </c>
      <c r="D11" s="51" t="inlineStr">
        <is>
          <t>Reuse 40%</t>
        </is>
      </c>
      <c r="E11" s="51" t="inlineStr">
        <is>
          <t>M12</t>
        </is>
      </c>
      <c r="F11" s="51" t="inlineStr">
        <is>
          <t>Thresholds differ from the coaching spec</t>
        </is>
      </c>
    </row>
    <row r="12" ht="23.25" customHeight="1" s="38">
      <c r="A12" s="51" t="inlineStr">
        <is>
          <t>Exam runner (mode, size, take, results)</t>
        </is>
      </c>
      <c r="B12" s="51" t="inlineStr">
        <is>
          <t>Basic version present</t>
        </is>
      </c>
      <c r="C12" s="51" t="inlineStr">
        <is>
          <t>Add timer, autosave, per-question timing, review screen, sections</t>
        </is>
      </c>
      <c r="D12" s="51" t="inlineStr">
        <is>
          <t>Reuse 40%</t>
        </is>
      </c>
      <c r="E12" s="51" t="inlineStr">
        <is>
          <t>M08</t>
        </is>
      </c>
      <c r="F12" s="51" t="inlineStr">
        <is>
          <t>Currently 5/10/15 question quiz, not a sectioned paper</t>
        </is>
      </c>
    </row>
    <row r="13" ht="15" customHeight="1" s="38">
      <c r="A13" s="51" t="inlineStr">
        <is>
          <t>Practice and Learn routes</t>
        </is>
      </c>
      <c r="B13" s="51" t="inlineStr">
        <is>
          <t>Present</t>
        </is>
      </c>
      <c r="C13" s="51" t="inlineStr">
        <is>
          <t>Reuse as the remediation delivery surface</t>
        </is>
      </c>
      <c r="D13" s="51" t="inlineStr">
        <is>
          <t>Reuse 60%</t>
        </is>
      </c>
      <c r="E13" s="51" t="inlineStr">
        <is>
          <t>M13</t>
        </is>
      </c>
      <c r="F13" s="51" t="inlineStr">
        <is>
          <t>Good fit for the drill loop</t>
        </is>
      </c>
    </row>
    <row r="14" ht="15" customHeight="1" s="38">
      <c r="A14" s="51" t="inlineStr">
        <is>
          <t>State (Zustand persist, seeded demo students)</t>
        </is>
      </c>
      <c r="B14" s="51" t="inlineStr">
        <is>
          <t>Present</t>
        </is>
      </c>
      <c r="C14" s="51" t="inlineStr">
        <is>
          <t>Replace client-seeded mastery with server truth</t>
        </is>
      </c>
      <c r="D14" s="51" t="inlineStr">
        <is>
          <t>Replace</t>
        </is>
      </c>
      <c r="E14" s="51" t="inlineStr">
        <is>
          <t>M03</t>
        </is>
      </c>
      <c r="F14" s="51" t="inlineStr">
        <is>
          <t>Demo seeding must not survive into production</t>
        </is>
      </c>
    </row>
    <row r="15" ht="15" customHeight="1" s="38">
      <c r="A15" s="51" t="inlineStr">
        <is>
          <t>Paper blueprint engine</t>
        </is>
      </c>
      <c r="B15" s="51" t="inlineStr">
        <is>
          <t>Absent</t>
        </is>
      </c>
      <c r="C15" s="51" t="inlineStr">
        <is>
          <t>Build from scratch</t>
        </is>
      </c>
      <c r="D15" s="51" t="inlineStr">
        <is>
          <t>New</t>
        </is>
      </c>
      <c r="E15" s="51" t="inlineStr">
        <is>
          <t>M06</t>
        </is>
      </c>
      <c r="F15" s="51" t="inlineStr">
        <is>
          <t>Core differentiator</t>
        </is>
      </c>
    </row>
    <row r="16" ht="15" customHeight="1" s="38">
      <c r="A16" s="51" t="inlineStr">
        <is>
          <t>Weighted 40/40/20 selection</t>
        </is>
      </c>
      <c r="B16" s="51" t="inlineStr">
        <is>
          <t>Absent</t>
        </is>
      </c>
      <c r="C16" s="51" t="inlineStr">
        <is>
          <t>Build from scratch</t>
        </is>
      </c>
      <c r="D16" s="51" t="inlineStr">
        <is>
          <t>New</t>
        </is>
      </c>
      <c r="E16" s="51" t="inlineStr">
        <is>
          <t>M06</t>
        </is>
      </c>
      <c r="F16" s="51" t="inlineStr">
        <is>
          <t>Directly from the coaching spec</t>
        </is>
      </c>
    </row>
    <row r="17" ht="23.25" customHeight="1" s="38">
      <c r="A17" s="51" t="inlineStr">
        <is>
          <t>PDF generation and print layout</t>
        </is>
      </c>
      <c r="B17" s="51" t="inlineStr">
        <is>
          <t>Absent</t>
        </is>
      </c>
      <c r="C17" s="51" t="inlineStr">
        <is>
          <t>Build from scratch</t>
        </is>
      </c>
      <c r="D17" s="51" t="inlineStr">
        <is>
          <t>New</t>
        </is>
      </c>
      <c r="E17" s="51" t="inlineStr">
        <is>
          <t>M07</t>
        </is>
      </c>
      <c r="F17" s="51" t="inlineStr">
        <is>
          <t>Rough-work column, answer panels, embedded fonts</t>
        </is>
      </c>
    </row>
    <row r="18" ht="15" customHeight="1" s="38">
      <c r="A18" s="51" t="inlineStr">
        <is>
          <t>Answer key and marking scheme output</t>
        </is>
      </c>
      <c r="B18" s="51" t="inlineStr">
        <is>
          <t>Absent</t>
        </is>
      </c>
      <c r="C18" s="51" t="inlineStr">
        <is>
          <t>Build from scratch</t>
        </is>
      </c>
      <c r="D18" s="51" t="inlineStr">
        <is>
          <t>New</t>
        </is>
      </c>
      <c r="E18" s="51" t="inlineStr">
        <is>
          <t>M07</t>
        </is>
      </c>
      <c r="F18" s="51" t="inlineStr">
        <is>
          <t>Required by the spec on every paper</t>
        </is>
      </c>
    </row>
    <row r="19" ht="15" customHeight="1" s="38">
      <c r="A19" s="51" t="inlineStr">
        <is>
          <t>Handwritten upload and OCR</t>
        </is>
      </c>
      <c r="B19" s="51" t="inlineStr">
        <is>
          <t>Absent</t>
        </is>
      </c>
      <c r="C19" s="51" t="inlineStr">
        <is>
          <t>Build from scratch</t>
        </is>
      </c>
      <c r="D19" s="51" t="inlineStr">
        <is>
          <t>New</t>
        </is>
      </c>
      <c r="E19" s="51" t="inlineStr">
        <is>
          <t>M10</t>
        </is>
      </c>
      <c r="F19" s="51" t="inlineStr">
        <is>
          <t>Highest technical risk in the plan</t>
        </is>
      </c>
    </row>
    <row r="20" ht="15" customHeight="1" s="38">
      <c r="A20" s="51" t="inlineStr">
        <is>
          <t>Actual vs Knowledge score and Delivery Gap</t>
        </is>
      </c>
      <c r="B20" s="51" t="inlineStr">
        <is>
          <t>Absent</t>
        </is>
      </c>
      <c r="C20" s="51" t="inlineStr">
        <is>
          <t>Build from scratch</t>
        </is>
      </c>
      <c r="D20" s="51" t="inlineStr">
        <is>
          <t>New</t>
        </is>
      </c>
      <c r="E20" s="51" t="inlineStr">
        <is>
          <t>M11</t>
        </is>
      </c>
      <c r="F20" s="51" t="inlineStr">
        <is>
          <t>The product's actual insight</t>
        </is>
      </c>
    </row>
    <row r="21" ht="15" customHeight="1" s="38">
      <c r="A21" s="51" t="inlineStr">
        <is>
          <t>Error patterns P1-P6 and habits H1-H10</t>
        </is>
      </c>
      <c r="B21" s="51" t="inlineStr">
        <is>
          <t>Absent</t>
        </is>
      </c>
      <c r="C21" s="51" t="inlineStr">
        <is>
          <t>Build from scratch</t>
        </is>
      </c>
      <c r="D21" s="51" t="inlineStr">
        <is>
          <t>New</t>
        </is>
      </c>
      <c r="E21" s="51" t="inlineStr">
        <is>
          <t>M11</t>
        </is>
      </c>
      <c r="F21" s="51" t="inlineStr">
        <is>
          <t>Must be data-driven, not hardcoded</t>
        </is>
      </c>
    </row>
    <row r="22" ht="23.25" customHeight="1" s="38">
      <c r="A22" s="51" t="inlineStr">
        <is>
          <t>Remediation 4-step protocol</t>
        </is>
      </c>
      <c r="B22" s="51" t="inlineStr">
        <is>
          <t>Absent</t>
        </is>
      </c>
      <c r="C22" s="51" t="inlineStr">
        <is>
          <t>Build from scratch</t>
        </is>
      </c>
      <c r="D22" s="51" t="inlineStr">
        <is>
          <t>New</t>
        </is>
      </c>
      <c r="E22" s="51" t="inlineStr">
        <is>
          <t>M13</t>
        </is>
      </c>
      <c r="F22" s="51" t="inlineStr">
        <is>
          <t>Spec is already written; implementation is mechanical</t>
        </is>
      </c>
    </row>
    <row r="23" ht="15" customHeight="1" s="38">
      <c r="A23" s="51" t="inlineStr">
        <is>
          <t>Weekly summary and study planner</t>
        </is>
      </c>
      <c r="B23" s="51" t="inlineStr">
        <is>
          <t>Absent</t>
        </is>
      </c>
      <c r="C23" s="51" t="inlineStr">
        <is>
          <t>Build from scratch</t>
        </is>
      </c>
      <c r="D23" s="51" t="inlineStr">
        <is>
          <t>New</t>
        </is>
      </c>
      <c r="E23" s="51" t="inlineStr">
        <is>
          <t>M14/M15</t>
        </is>
      </c>
      <c r="F23" s="51" t="inlineStr">
        <is>
          <t>Drives retention</t>
        </is>
      </c>
    </row>
    <row r="24" ht="15" customHeight="1" s="38">
      <c r="A24" s="51" t="inlineStr">
        <is>
          <t>Telugu / multilingual support</t>
        </is>
      </c>
      <c r="B24" s="51" t="inlineStr">
        <is>
          <t>Absent</t>
        </is>
      </c>
      <c r="C24" s="51" t="inlineStr">
        <is>
          <t>Build from scratch</t>
        </is>
      </c>
      <c r="D24" s="51" t="inlineStr">
        <is>
          <t>New</t>
        </is>
      </c>
      <c r="E24" s="51" t="inlineStr">
        <is>
          <t>M18</t>
        </is>
      </c>
      <c r="F24" s="51" t="inlineStr">
        <is>
          <t>Font embedding in PDF is the known pain point</t>
        </is>
      </c>
    </row>
    <row r="25" ht="23.25" customHeight="1" s="38">
      <c r="A25" s="51" t="inlineStr">
        <is>
          <t>Admin content console</t>
        </is>
      </c>
      <c r="B25" s="51" t="inlineStr">
        <is>
          <t>Absent</t>
        </is>
      </c>
      <c r="C25" s="51" t="inlineStr">
        <is>
          <t>Build from scratch</t>
        </is>
      </c>
      <c r="D25" s="51" t="inlineStr">
        <is>
          <t>New</t>
        </is>
      </c>
      <c r="E25" s="51" t="inlineStr">
        <is>
          <t>M17</t>
        </is>
      </c>
      <c r="F25" s="51" t="inlineStr">
        <is>
          <t>Without it, content work needs a developer forever</t>
        </is>
      </c>
    </row>
    <row r="26" ht="15" customHeight="1" s="38">
      <c r="A26" s="51" t="inlineStr">
        <is>
          <t>Privacy, consent, audit, data export</t>
        </is>
      </c>
      <c r="B26" s="51" t="inlineStr">
        <is>
          <t>Absent</t>
        </is>
      </c>
      <c r="C26" s="51" t="inlineStr">
        <is>
          <t>Build from scratch</t>
        </is>
      </c>
      <c r="D26" s="51" t="inlineStr">
        <is>
          <t>New</t>
        </is>
      </c>
      <c r="E26" s="51" t="inlineStr">
        <is>
          <t>M20</t>
        </is>
      </c>
      <c r="F26" s="51" t="inlineStr">
        <is>
          <t>Blocker before any non-family user</t>
        </is>
      </c>
    </row>
    <row r="27" ht="15" customHeight="1" s="38">
      <c r="A27" s="51" t="inlineStr">
        <is>
          <t>AI cost metering and limits</t>
        </is>
      </c>
      <c r="B27" s="51" t="inlineStr">
        <is>
          <t>Absent</t>
        </is>
      </c>
      <c r="C27" s="51" t="inlineStr">
        <is>
          <t>Build from scratch</t>
        </is>
      </c>
      <c r="D27" s="51" t="inlineStr">
        <is>
          <t>New</t>
        </is>
      </c>
      <c r="E27" s="51" t="inlineStr">
        <is>
          <t>M19</t>
        </is>
      </c>
      <c r="F27" s="51" t="inlineStr">
        <is>
          <t>Unbounded spend risk without it</t>
        </is>
      </c>
    </row>
  </sheetData>
  <autoFilter ref="A3:F27"/>
  <mergeCells count="1">
    <mergeCell ref="A1:F1"/>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E21"/>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0" customWidth="1" style="38" min="1" max="1"/>
    <col width="40" customWidth="1" style="38" min="2" max="2"/>
    <col width="74" customWidth="1" style="38" min="3" max="3"/>
    <col width="30" customWidth="1" style="38" min="4" max="4"/>
    <col width="42" customWidth="1" style="38" min="5" max="5"/>
  </cols>
  <sheetData>
    <row r="1" ht="24" customHeight="1" s="38">
      <c r="A1" s="42" t="inlineStr">
        <is>
          <t>09  Technology Decisions  —  lock these before Phase 1 so nothing is rewritten mid-build.</t>
        </is>
      </c>
    </row>
    <row r="3" ht="30" customHeight="1" s="38">
      <c r="A3" s="2" t="inlineStr">
        <is>
          <t>Layer</t>
        </is>
      </c>
      <c r="B3" s="2" t="inlineStr">
        <is>
          <t>Recommendation</t>
        </is>
      </c>
      <c r="C3" s="2" t="inlineStr">
        <is>
          <t>Rationale</t>
        </is>
      </c>
      <c r="D3" s="2" t="inlineStr">
        <is>
          <t>Alternatives Considered</t>
        </is>
      </c>
      <c r="E3" s="2" t="inlineStr">
        <is>
          <t>Note</t>
        </is>
      </c>
    </row>
    <row r="4" ht="23.25" customHeight="1" s="38">
      <c r="A4" s="51" t="inlineStr">
        <is>
          <t>Framework</t>
        </is>
      </c>
      <c r="B4" s="51" t="inlineStr">
        <is>
          <t>TanStack Start (React 19) or Next.js 15 App Router</t>
        </is>
      </c>
      <c r="C4" s="51" t="inlineStr">
        <is>
          <t>Prototype already runs TanStack Start; switching costs days for no functional gain. Choose Next.js only if you want its larger ecosystem and hiring pool.</t>
        </is>
      </c>
      <c r="D4" s="51" t="inlineStr">
        <is>
          <t>Next.js, Remix</t>
        </is>
      </c>
      <c r="E4" s="51" t="inlineStr">
        <is>
          <t>Decide in week 1 and do not revisit</t>
        </is>
      </c>
    </row>
    <row r="5" ht="15" customHeight="1" s="38">
      <c r="A5" s="51" t="inlineStr">
        <is>
          <t>Language</t>
        </is>
      </c>
      <c r="B5" s="51" t="inlineStr">
        <is>
          <t>TypeScript strict</t>
        </is>
      </c>
      <c r="C5" s="51" t="inlineStr">
        <is>
          <t>Type safety across a large data model is worth the friction.</t>
        </is>
      </c>
      <c r="D5" s="51" t="inlineStr">
        <is>
          <t>JavaScript</t>
        </is>
      </c>
      <c r="E5" s="51" t="inlineStr">
        <is>
          <t>Locked</t>
        </is>
      </c>
    </row>
    <row r="6" ht="15" customHeight="1" s="38">
      <c r="A6" s="51" t="inlineStr">
        <is>
          <t>Styling</t>
        </is>
      </c>
      <c r="B6" s="51" t="inlineStr">
        <is>
          <t>Tailwind CSS v4 + shadcn/ui</t>
        </is>
      </c>
      <c r="C6" s="51" t="inlineStr">
        <is>
          <t>Already in the prototype; print stylesheets are straightforward.</t>
        </is>
      </c>
      <c r="D6" s="51" t="inlineStr">
        <is>
          <t>MUI, Chakra</t>
        </is>
      </c>
      <c r="E6" s="51" t="inlineStr">
        <is>
          <t>Locked</t>
        </is>
      </c>
    </row>
    <row r="7" ht="23.25" customHeight="1" s="38">
      <c r="A7" s="51" t="inlineStr">
        <is>
          <t>Database</t>
        </is>
      </c>
      <c r="B7" s="51" t="inlineStr">
        <is>
          <t>Postgres (Neon or Supabase)</t>
        </is>
      </c>
      <c r="C7" s="51" t="inlineStr">
        <is>
          <t>Relational data with heavy joins across students, concepts and evaluations. Supabase adds auth, storage and row-level security in one.</t>
        </is>
      </c>
      <c r="D7" s="51" t="inlineStr">
        <is>
          <t>MongoDB, PlanetScale</t>
        </is>
      </c>
      <c r="E7" s="51" t="inlineStr">
        <is>
          <t>Supabase recommended if you want storage + RLS bundled</t>
        </is>
      </c>
    </row>
    <row r="8" ht="15" customHeight="1" s="38">
      <c r="A8" s="51" t="inlineStr">
        <is>
          <t>Query layer</t>
        </is>
      </c>
      <c r="B8" s="51" t="inlineStr">
        <is>
          <t>Kysely (in prototype) or Drizzle</t>
        </is>
      </c>
      <c r="C8" s="51" t="inlineStr">
        <is>
          <t>Typed SQL without ORM magic. Drizzle has better migration ergonomics.</t>
        </is>
      </c>
      <c r="D8" s="51" t="inlineStr">
        <is>
          <t>Prisma, raw SQL</t>
        </is>
      </c>
      <c r="E8" s="51" t="inlineStr">
        <is>
          <t>Either is fine; do not mix both</t>
        </is>
      </c>
    </row>
    <row r="9" ht="15" customHeight="1" s="38">
      <c r="A9" s="51" t="inlineStr">
        <is>
          <t>Auth</t>
        </is>
      </c>
      <c r="B9" s="51" t="inlineStr">
        <is>
          <t>better-auth (prototype) or Supabase Auth</t>
        </is>
      </c>
      <c r="C9" s="51" t="inlineStr">
        <is>
          <t>Depends on the database choice. Do not run two auth systems.</t>
        </is>
      </c>
      <c r="D9" s="51" t="inlineStr">
        <is>
          <t>Clerk, Auth0</t>
        </is>
      </c>
      <c r="E9" s="51" t="inlineStr">
        <is>
          <t>Follow the DB decision</t>
        </is>
      </c>
    </row>
    <row r="10" ht="15" customHeight="1" s="38">
      <c r="A10" s="51" t="inlineStr">
        <is>
          <t>File storage</t>
        </is>
      </c>
      <c r="B10" s="51" t="inlineStr">
        <is>
          <t>Supabase Storage or Cloudflare R2</t>
        </is>
      </c>
      <c r="C10" s="51" t="inlineStr">
        <is>
          <t>Handwriting scans are private, potentially large, and must use signed URLs.</t>
        </is>
      </c>
      <c r="D10" s="51" t="inlineStr">
        <is>
          <t>S3, Vercel Blob</t>
        </is>
      </c>
      <c r="E10" s="51" t="inlineStr">
        <is>
          <t>Never a public bucket</t>
        </is>
      </c>
    </row>
    <row r="11" ht="34.5" customHeight="1" s="38">
      <c r="A11" s="51" t="inlineStr">
        <is>
          <t>PDF generation</t>
        </is>
      </c>
      <c r="B11" s="51" t="inlineStr">
        <is>
          <t>Playwright/Chromium headless on a Node serverless function, or WeasyPrint on a small worker</t>
        </is>
      </c>
      <c r="C11" s="51" t="inlineStr">
        <is>
          <t>HTML-to-PDF gives full CSS control and font embedding, which matters most for Telugu script.</t>
        </is>
      </c>
      <c r="D11" s="51" t="inlineStr">
        <is>
          <t>react-pdf, jsPDF</t>
        </is>
      </c>
      <c r="E11" s="51" t="inlineStr">
        <is>
          <t>Test Telugu conjuncts before locking this in</t>
        </is>
      </c>
    </row>
    <row r="12" ht="23.25" customHeight="1" s="38">
      <c r="A12" s="51" t="inlineStr">
        <is>
          <t>AI provider</t>
        </is>
      </c>
      <c r="B12" s="51" t="inlineStr">
        <is>
          <t>Anthropic Claude API (generation, grading, vision) with a cheap tier for classification</t>
        </is>
      </c>
      <c r="C12" s="51" t="inlineStr">
        <is>
          <t>Long context suits full marking schemes and chapter scope; vision handles handwriting.</t>
        </is>
      </c>
      <c r="D12" s="51" t="inlineStr">
        <is>
          <t>OpenAI, Gemini</t>
        </is>
      </c>
      <c r="E12" s="51" t="inlineStr">
        <is>
          <t>Keep a provider-agnostic wrapper so a second model is a config change</t>
        </is>
      </c>
    </row>
    <row r="13" ht="15" customHeight="1" s="38">
      <c r="A13" s="51" t="inlineStr">
        <is>
          <t>Background jobs</t>
        </is>
      </c>
      <c r="B13" s="51" t="inlineStr">
        <is>
          <t>Inngest or Trigger.dev</t>
        </is>
      </c>
      <c r="C13" s="51" t="inlineStr">
        <is>
          <t>PDF rendering, OCR and grading exceed serverless request timeouts and need retries.</t>
        </is>
      </c>
      <c r="D13" s="51" t="inlineStr">
        <is>
          <t>Vercel cron, BullMQ</t>
        </is>
      </c>
      <c r="E13" s="51" t="inlineStr">
        <is>
          <t>Do not run OCR inside a request handler</t>
        </is>
      </c>
    </row>
    <row r="14" ht="15" customHeight="1" s="38">
      <c r="A14" s="51" t="inlineStr">
        <is>
          <t>Hosting</t>
        </is>
      </c>
      <c r="B14" s="51" t="inlineStr">
        <is>
          <t>Vercel</t>
        </is>
      </c>
      <c r="C14" s="51" t="inlineStr">
        <is>
          <t>Prototype already targets it; preview deploys per PR are genuinely useful.</t>
        </is>
      </c>
      <c r="D14" s="51" t="inlineStr">
        <is>
          <t>Railway, Fly.io</t>
        </is>
      </c>
      <c r="E14" s="51" t="inlineStr">
        <is>
          <t>Locked</t>
        </is>
      </c>
    </row>
    <row r="15" ht="15" customHeight="1" s="38">
      <c r="A15" s="51" t="inlineStr">
        <is>
          <t>Email</t>
        </is>
      </c>
      <c r="B15" s="51" t="inlineStr">
        <is>
          <t>Resend</t>
        </is>
      </c>
      <c r="C15" s="51" t="inlineStr">
        <is>
          <t>Simple API, good deliverability, React email templates.</t>
        </is>
      </c>
      <c r="D15" s="51" t="inlineStr">
        <is>
          <t>SendGrid, SES</t>
        </is>
      </c>
      <c r="E15" s="51" t="inlineStr">
        <is>
          <t>Low switching cost</t>
        </is>
      </c>
    </row>
    <row r="16" ht="15" customHeight="1" s="38">
      <c r="A16" s="51" t="inlineStr">
        <is>
          <t>WhatsApp</t>
        </is>
      </c>
      <c r="B16" s="51" t="inlineStr">
        <is>
          <t>Meta Cloud API via a BSP (Gupshup / AiSensy)</t>
        </is>
      </c>
      <c r="C16" s="51" t="inlineStr">
        <is>
          <t>Indian parents read WhatsApp; email often goes unread.</t>
        </is>
      </c>
      <c r="D16" s="51" t="inlineStr">
        <is>
          <t>SMS</t>
        </is>
      </c>
      <c r="E16" s="51" t="inlineStr">
        <is>
          <t>Phase 3; template approval takes ~1-2 weeks</t>
        </is>
      </c>
    </row>
    <row r="17" ht="15" customHeight="1" s="38">
      <c r="A17" s="51" t="inlineStr">
        <is>
          <t>Charts</t>
        </is>
      </c>
      <c r="B17" s="51" t="inlineStr">
        <is>
          <t>Recharts</t>
        </is>
      </c>
      <c r="C17" s="51" t="inlineStr">
        <is>
          <t>Already used in comparable stacks, prints acceptably.</t>
        </is>
      </c>
      <c r="D17" s="51" t="inlineStr">
        <is>
          <t>Chart.js, visx</t>
        </is>
      </c>
      <c r="E17" s="51" t="inlineStr">
        <is>
          <t>Verify print rendering</t>
        </is>
      </c>
    </row>
    <row r="18" ht="23.25" customHeight="1" s="38">
      <c r="A18" s="51" t="inlineStr">
        <is>
          <t>Testing</t>
        </is>
      </c>
      <c r="B18" s="51" t="inlineStr">
        <is>
          <t>Vitest + Playwright + a custom AI accuracy harness</t>
        </is>
      </c>
      <c r="C18" s="51" t="inlineStr">
        <is>
          <t>Standard suites cannot measure grading quality; the harness is bespoke and mandatory.</t>
        </is>
      </c>
      <c r="D18" s="51" t="inlineStr">
        <is>
          <t>Jest, Cypress</t>
        </is>
      </c>
      <c r="E18" s="51" t="inlineStr">
        <is>
          <t>The harness is the important half</t>
        </is>
      </c>
    </row>
    <row r="19" ht="15" customHeight="1" s="38">
      <c r="A19" s="51" t="inlineStr">
        <is>
          <t>Observability</t>
        </is>
      </c>
      <c r="B19" s="51" t="inlineStr">
        <is>
          <t>Sentry + a cost dashboard fed from ai_jobs</t>
        </is>
      </c>
      <c r="C19" s="51" t="inlineStr">
        <is>
          <t>Two separate concerns: code failures and AI spend.</t>
        </is>
      </c>
      <c r="D19" s="51" t="inlineStr">
        <is>
          <t>Datadog, Axiom</t>
        </is>
      </c>
      <c r="E19" s="51" t="inlineStr">
        <is>
          <t>Datadog is overkill at this size</t>
        </is>
      </c>
    </row>
    <row r="20" ht="15" customHeight="1" s="38">
      <c r="A20" s="51" t="inlineStr">
        <is>
          <t>Analytics</t>
        </is>
      </c>
      <c r="B20" s="51" t="inlineStr">
        <is>
          <t>PostHog (self-host or cloud, EU/India region)</t>
        </is>
      </c>
      <c r="C20" s="51" t="inlineStr">
        <is>
          <t>Funnels without ad-tech tracking on a minor's data.</t>
        </is>
      </c>
      <c r="D20" s="51" t="inlineStr">
        <is>
          <t>GA4, Mixpanel</t>
        </is>
      </c>
      <c r="E20" s="51" t="inlineStr">
        <is>
          <t>Avoid ad pixels entirely on child accounts</t>
        </is>
      </c>
    </row>
    <row r="21" ht="15" customHeight="1" s="38">
      <c r="A21" s="51" t="inlineStr">
        <is>
          <t>Payments</t>
        </is>
      </c>
      <c r="B21" s="51" t="inlineStr">
        <is>
          <t>Razorpay</t>
        </is>
      </c>
      <c r="C21" s="51" t="inlineStr">
        <is>
          <t>Indian market, UPI, GST-compliant invoicing.</t>
        </is>
      </c>
      <c r="D21" s="51" t="inlineStr">
        <is>
          <t>Stripe</t>
        </is>
      </c>
      <c r="E21" s="51" t="inlineStr">
        <is>
          <t>Phase 4 only</t>
        </is>
      </c>
    </row>
  </sheetData>
  <autoFilter ref="A3:E21"/>
  <mergeCells count="1">
    <mergeCell ref="A1:E1"/>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H15"/>
  <sheetViews>
    <sheetView showGridLines="0" zoomScaleNormal="100" workbookViewId="0">
      <selection activeCell="A1" sqref="A1"/>
    </sheetView>
  </sheetViews>
  <sheetFormatPr baseColWidth="8" defaultColWidth="8.6328125" defaultRowHeight="14.5"/>
  <cols>
    <col width="18" customWidth="1" style="38" min="1" max="1"/>
    <col width="30" customWidth="1" style="38" min="2" max="2"/>
    <col width="62" customWidth="1" style="38" min="3" max="3"/>
    <col width="10" customWidth="1" style="38" min="4" max="4"/>
    <col width="8" customWidth="1" style="38" min="5" max="5"/>
    <col width="14" customWidth="1" style="38" min="6" max="7"/>
    <col width="74" customWidth="1" style="38" min="8" max="8"/>
  </cols>
  <sheetData>
    <row r="1" ht="17.25" customHeight="1" s="38">
      <c r="A1" s="42" t="inlineStr">
        <is>
          <t>10  Roadmap  —  change the Project Start Date and every phase date recalculates</t>
        </is>
      </c>
    </row>
    <row r="3" ht="15" customHeight="1" s="38">
      <c r="A3" s="9" t="inlineStr">
        <is>
          <t>Project Start Date</t>
        </is>
      </c>
      <c r="B3" s="11" t="n">
        <v>46280</v>
      </c>
      <c r="C3" s="9" t="inlineStr">
        <is>
          <t>Developer-days available per week (velocity)</t>
        </is>
      </c>
      <c r="D3" s="12" t="n">
        <v>4.5</v>
      </c>
      <c r="E3" s="48" t="inlineStr">
        <is>
          <t>Assumption: one developer working with an AI coding assistant, 4-5 productive days per week.</t>
        </is>
      </c>
    </row>
    <row r="5" ht="27.75" customHeight="1" s="38">
      <c r="A5" s="2" t="inlineStr">
        <is>
          <t>Phase</t>
        </is>
      </c>
      <c r="B5" s="2" t="inlineStr">
        <is>
          <t>Modules</t>
        </is>
      </c>
      <c r="C5" s="2" t="inlineStr">
        <is>
          <t>Goal / Definition of Done</t>
        </is>
      </c>
      <c r="D5" s="2" t="inlineStr">
        <is>
          <t>Est. Days</t>
        </is>
      </c>
      <c r="E5" s="2" t="inlineStr">
        <is>
          <t>Weeks</t>
        </is>
      </c>
      <c r="F5" s="2" t="inlineStr">
        <is>
          <t>Start</t>
        </is>
      </c>
      <c r="G5" s="2" t="inlineStr">
        <is>
          <t>End</t>
        </is>
      </c>
      <c r="H5" s="2" t="inlineStr">
        <is>
          <t>Exit Criteria</t>
        </is>
      </c>
    </row>
    <row r="6" ht="23.25" customHeight="1" s="38">
      <c r="A6" s="51" t="inlineStr">
        <is>
          <t>P0 Foundation</t>
        </is>
      </c>
      <c r="B6" s="51" t="inlineStr">
        <is>
          <t>M01, M02, M03</t>
        </is>
      </c>
      <c r="C6" s="51" t="inlineStr">
        <is>
          <t>A deployed, authenticated, multi-student skeleton on a real schema.</t>
        </is>
      </c>
      <c r="D6" s="4">
        <f>SUMIF('02 Module Master'!$C:$C,"P0 Foundation*",'02 Module Master'!$J:$J)</f>
        <v/>
      </c>
      <c r="E6" s="4">
        <f>ROUNDUP(D6/$D$3,0)</f>
        <v/>
      </c>
      <c r="F6" s="14">
        <f>$B$3</f>
        <v/>
      </c>
      <c r="G6" s="14">
        <f>F6+E6*7</f>
        <v/>
      </c>
      <c r="H6" s="51" t="inlineStr">
        <is>
          <t>Parent can sign in, add two students, switch between them; migrations run in CI; preview deploys work.</t>
        </is>
      </c>
    </row>
    <row r="7" ht="23.25" customHeight="1" s="38">
      <c r="A7" s="51" t="inlineStr">
        <is>
          <t>P1 Core MVP</t>
        </is>
      </c>
      <c r="B7" s="51" t="inlineStr">
        <is>
          <t>M04, M05, M06, M07, M08, M09, M12</t>
        </is>
      </c>
      <c r="C7" s="51" t="inlineStr">
        <is>
          <t>Generate a syllabus-correct paper, attempt it, get it marked, see the tracker move.</t>
        </is>
      </c>
      <c r="D7" s="4">
        <f>SUMIF('02 Module Master'!$C:$C,"P1 Core*",'02 Module Master'!$J:$J)</f>
        <v/>
      </c>
      <c r="E7" s="4">
        <f>ROUNDUP(D7/$D$3,0)</f>
        <v/>
      </c>
      <c r="F7" s="14">
        <f>G6+1</f>
        <v/>
      </c>
      <c r="G7" s="14">
        <f>F7+E7*7</f>
        <v/>
      </c>
      <c r="H7" s="51" t="inlineStr">
        <is>
          <t>A real chapter paper is generated, printed, attempted on screen, auto-evaluated, and the concept tracker updates — end to end without developer intervention.</t>
        </is>
      </c>
    </row>
    <row r="8" ht="23.25" customHeight="1" s="38">
      <c r="A8" s="51" t="inlineStr">
        <is>
          <t>P2 Diagnostics</t>
        </is>
      </c>
      <c r="B8" s="51" t="inlineStr">
        <is>
          <t>M10, M11, M13, M14</t>
        </is>
      </c>
      <c r="C8" s="51" t="inlineStr">
        <is>
          <t>The product's actual differentiator: photo upload, Delivery Gap, remediation, reports.</t>
        </is>
      </c>
      <c r="D8" s="4">
        <f>SUMIF('02 Module Master'!$C:$C,"P2 Diagnostics*",'02 Module Master'!$J:$J)</f>
        <v/>
      </c>
      <c r="E8" s="4">
        <f>ROUNDUP(D8/$D$3,0)</f>
        <v/>
      </c>
      <c r="F8" s="14">
        <f>G7+1</f>
        <v/>
      </c>
      <c r="G8" s="14">
        <f>F8+E8*7</f>
        <v/>
      </c>
      <c r="H8" s="51" t="inlineStr">
        <is>
          <t>A handwritten paper is photographed, transcribed, confirmed, evaluated, and produces a diagnosis report with Delivery Gap plus an auto-generated remediation drill.</t>
        </is>
      </c>
    </row>
    <row r="9" ht="23.25" customHeight="1" s="38">
      <c r="A9" s="51" t="inlineStr">
        <is>
          <t>P3 Engagement</t>
        </is>
      </c>
      <c r="B9" s="51" t="inlineStr">
        <is>
          <t>M15, M16, M17, M18</t>
        </is>
      </c>
      <c r="C9" s="51" t="inlineStr">
        <is>
          <t>Habit-forming layer plus content self-service and Telugu.</t>
        </is>
      </c>
      <c r="D9" s="4">
        <f>SUMIF('02 Module Master'!$C:$C,"P3 Engagement*",'02 Module Master'!$J:$J)</f>
        <v/>
      </c>
      <c r="E9" s="4">
        <f>ROUNDUP(D9/$D$3,0)</f>
        <v/>
      </c>
      <c r="F9" s="14">
        <f>G8+1</f>
        <v/>
      </c>
      <c r="G9" s="14">
        <f>F9+E9*7</f>
        <v/>
      </c>
      <c r="H9" s="51" t="inlineStr">
        <is>
          <t>Weekly summary and daily parent action delivered automatically; an admin adds a new chapter and questions without a developer; a Telugu paper prints correctly.</t>
        </is>
      </c>
    </row>
    <row r="10" ht="34.5" customHeight="1" s="38">
      <c r="A10" s="51" t="inlineStr">
        <is>
          <t>P4 Hardening &amp; Launch</t>
        </is>
      </c>
      <c r="B10" s="51" t="inlineStr">
        <is>
          <t>M19, M20, M21, M22</t>
        </is>
      </c>
      <c r="C10" s="51" t="inlineStr">
        <is>
          <t>Safe, measured, legally shippable, and tested against real papers.</t>
        </is>
      </c>
      <c r="D10" s="4">
        <f>SUMIF('02 Module Master'!$C:$C,"P4 Hardening*",'02 Module Master'!$J:$J)</f>
        <v/>
      </c>
      <c r="E10" s="4">
        <f>ROUNDUP(D10/$D$3,0)</f>
        <v/>
      </c>
      <c r="F10" s="14">
        <f>G9+1</f>
        <v/>
      </c>
      <c r="G10" s="14">
        <f>F10+E10*7</f>
        <v/>
      </c>
      <c r="H10" s="51" t="inlineStr">
        <is>
          <t>AI accuracy &gt;=85% agreement on the 100-answer fixture; consent and data export live; zero cross-household access in the isolation test; three real school papers reproduced in UAT.</t>
        </is>
      </c>
    </row>
    <row r="11" ht="15" customHeight="1" s="38">
      <c r="C11" s="6" t="inlineStr">
        <is>
          <t>TOTAL</t>
        </is>
      </c>
      <c r="D11" s="6">
        <f>SUM(D6:D10)</f>
        <v/>
      </c>
      <c r="E11" s="6">
        <f>SUM(E6:E10)</f>
        <v/>
      </c>
      <c r="F11" s="15" t="n"/>
      <c r="G11" s="16">
        <f>G10</f>
        <v/>
      </c>
    </row>
    <row r="13" ht="15" customHeight="1" s="38">
      <c r="A13" s="43" t="inlineStr">
        <is>
          <t>Cut-down option: if you need something usable fast, ship P0 + P1 only (paper generation, on-screen attempt, auto-evaluation, tracker) and defer photo upload. That is roughly the first two phases of the schedule above.</t>
        </is>
      </c>
    </row>
    <row r="14" ht="15" customHeight="1" s="38">
      <c r="A14" s="43" t="inlineStr">
        <is>
          <t>Estimates assume one developer using an AI coding assistant. Two developers do not halve the time; expect roughly 0.65x with parallel module ownership.</t>
        </is>
      </c>
    </row>
    <row r="15" ht="15" customHeight="1" s="38">
      <c r="A15" s="44" t="inlineStr">
        <is>
          <t>Dates above use base effort at the stated velocity. Tab 13 adds a 25% contingency buffer, which pushes the end date out by roughly four months. Plan against tab 13, communicate tab 10.</t>
        </is>
      </c>
    </row>
  </sheetData>
  <mergeCells count="4">
    <mergeCell ref="A1:H1"/>
    <mergeCell ref="A13:H13"/>
    <mergeCell ref="A14:H14"/>
    <mergeCell ref="A15:H15"/>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F17"/>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8" customWidth="1" style="38" min="1" max="1"/>
    <col width="60" customWidth="1" style="38" min="2" max="2"/>
    <col width="14" customWidth="1" style="38" min="3" max="3"/>
    <col width="12" customWidth="1" style="38" min="4" max="4"/>
    <col width="84" customWidth="1" style="38" min="5" max="5"/>
    <col width="14" customWidth="1" style="38" min="6" max="6"/>
  </cols>
  <sheetData>
    <row r="1" ht="24" customHeight="1" s="38">
      <c r="A1" s="42" t="inlineStr">
        <is>
          <t>11  Risk Register  —  reviewed at every phase gate.</t>
        </is>
      </c>
    </row>
    <row r="3" ht="30" customHeight="1" s="38">
      <c r="A3" s="2" t="inlineStr">
        <is>
          <t>ID</t>
        </is>
      </c>
      <c r="B3" s="2" t="inlineStr">
        <is>
          <t>Risk</t>
        </is>
      </c>
      <c r="C3" s="2" t="inlineStr">
        <is>
          <t>Probability</t>
        </is>
      </c>
      <c r="D3" s="2" t="inlineStr">
        <is>
          <t>Impact</t>
        </is>
      </c>
      <c r="E3" s="2" t="inlineStr">
        <is>
          <t>Mitigation</t>
        </is>
      </c>
      <c r="F3" s="2" t="inlineStr">
        <is>
          <t>Module</t>
        </is>
      </c>
    </row>
    <row r="4" ht="23.25" customHeight="1" s="38">
      <c r="A4" s="51" t="inlineStr">
        <is>
          <t>R01</t>
        </is>
      </c>
      <c r="B4" s="51" t="inlineStr">
        <is>
          <t>AI grading of subjective answers is unreliable and a parent loses trust after one bad mark</t>
        </is>
      </c>
      <c r="C4" s="51" t="inlineStr">
        <is>
          <t>High</t>
        </is>
      </c>
      <c r="D4" s="51" t="inlineStr">
        <is>
          <t>High</t>
        </is>
      </c>
      <c r="E4" s="51" t="inlineStr">
        <is>
          <t>Human confirmation is mandatory before any score commits; show AI confidence; run the 100-answer accuracy harness before launch and after every prompt change</t>
        </is>
      </c>
      <c r="F4" s="51" t="inlineStr">
        <is>
          <t>M09, M22</t>
        </is>
      </c>
    </row>
    <row r="5" ht="23.25" customHeight="1" s="38">
      <c r="A5" s="51" t="inlineStr">
        <is>
          <t>R02</t>
        </is>
      </c>
      <c r="B5" s="51" t="inlineStr">
        <is>
          <t>Handwriting OCR fails on real Class 7 handwriting, especially Telugu</t>
        </is>
      </c>
      <c r="C5" s="51" t="inlineStr">
        <is>
          <t>High</t>
        </is>
      </c>
      <c r="D5" s="51" t="inlineStr">
        <is>
          <t>High</t>
        </is>
      </c>
      <c r="E5" s="51" t="inlineStr">
        <is>
          <t>Always keep a typed-entry path; confidence thresholds with image-crop confirmation; treat OCR as an accelerator, never a requirement</t>
        </is>
      </c>
      <c r="F5" s="51" t="inlineStr">
        <is>
          <t>M10</t>
        </is>
      </c>
    </row>
    <row r="6" ht="23.25" customHeight="1" s="38">
      <c r="A6" s="51" t="inlineStr">
        <is>
          <t>R03</t>
        </is>
      </c>
      <c r="B6" s="51" t="inlineStr">
        <is>
          <t>AI generates out-of-syllabus questions and wastes the student's time</t>
        </is>
      </c>
      <c r="C6" s="51" t="inlineStr">
        <is>
          <t>Medium</t>
        </is>
      </c>
      <c r="D6" s="51" t="inlineStr">
        <is>
          <t>High</t>
        </is>
      </c>
      <c r="E6" s="51" t="inlineStr">
        <is>
          <t>Generation is constrained by stored IN/OUT chapter scope with source page refs; automated syllabus-fidelity audit on every paper (F106)</t>
        </is>
      </c>
      <c r="F6" s="51" t="inlineStr">
        <is>
          <t>M04, M06</t>
        </is>
      </c>
    </row>
    <row r="7" ht="23.25" customHeight="1" s="38">
      <c r="A7" s="51" t="inlineStr">
        <is>
          <t>R04</t>
        </is>
      </c>
      <c r="B7" s="51" t="inlineStr">
        <is>
          <t>AI costs scale faster than value as papers and evaluations grow</t>
        </is>
      </c>
      <c r="C7" s="51" t="inlineStr">
        <is>
          <t>Medium</t>
        </is>
      </c>
      <c r="D7" s="51" t="inlineStr">
        <is>
          <t>Medium</t>
        </is>
      </c>
      <c r="E7" s="51" t="inlineStr">
        <is>
          <t>Token metering per call from day one; cheap models for classification; cache remediation packs per concept; hard daily caps</t>
        </is>
      </c>
      <c r="F7" s="51" t="inlineStr">
        <is>
          <t>M19</t>
        </is>
      </c>
    </row>
    <row r="8" ht="23.25" customHeight="1" s="38">
      <c r="A8" s="51" t="inlineStr">
        <is>
          <t>R05</t>
        </is>
      </c>
      <c r="B8" s="51" t="inlineStr">
        <is>
          <t>PDF print output does not match the school's real format, so the paper feels fake</t>
        </is>
      </c>
      <c r="C8" s="51" t="inlineStr">
        <is>
          <t>Medium</t>
        </is>
      </c>
      <c r="D8" s="51" t="inlineStr">
        <is>
          <t>High</t>
        </is>
      </c>
      <c r="E8" s="51" t="inlineStr">
        <is>
          <t>Blueprints derived from actual school papers; UAT reproduces three real papers; print QA across four render paths</t>
        </is>
      </c>
      <c r="F8" s="51" t="inlineStr">
        <is>
          <t>M07, M22</t>
        </is>
      </c>
    </row>
    <row r="9" ht="23.25" customHeight="1" s="38">
      <c r="A9" s="51" t="inlineStr">
        <is>
          <t>R06</t>
        </is>
      </c>
      <c r="B9" s="51" t="inlineStr">
        <is>
          <t>Telugu script renders incorrectly in the PDF (broken conjuncts, tofu boxes)</t>
        </is>
      </c>
      <c r="C9" s="51" t="inlineStr">
        <is>
          <t>Medium</t>
        </is>
      </c>
      <c r="D9" s="51" t="inlineStr">
        <is>
          <t>High</t>
        </is>
      </c>
      <c r="E9" s="51" t="inlineStr">
        <is>
          <t>Embed Noto Sans Telugu / Mallanna and verify a 200-word sample with ottulu and deerghalu before building the Telugu module</t>
        </is>
      </c>
      <c r="F9" s="51" t="inlineStr">
        <is>
          <t>M18</t>
        </is>
      </c>
    </row>
    <row r="10" ht="23.25" customHeight="1" s="38">
      <c r="A10" s="51" t="inlineStr">
        <is>
          <t>R07</t>
        </is>
      </c>
      <c r="B10" s="51" t="inlineStr">
        <is>
          <t>Question bank stays too small, so papers repeat and stop being diagnostic</t>
        </is>
      </c>
      <c r="C10" s="51" t="inlineStr">
        <is>
          <t>High</t>
        </is>
      </c>
      <c r="D10" s="51" t="inlineStr">
        <is>
          <t>Medium</t>
        </is>
      </c>
      <c r="E10" s="51" t="inlineStr">
        <is>
          <t>AI generation with a review queue; usage history prevents recent repeats; target 40+ approved questions per chapter before that chapter goes live</t>
        </is>
      </c>
      <c r="F10" s="51" t="inlineStr">
        <is>
          <t>M05, M17</t>
        </is>
      </c>
    </row>
    <row r="11" ht="15" customHeight="1" s="38">
      <c r="A11" s="51" t="inlineStr">
        <is>
          <t>R08</t>
        </is>
      </c>
      <c r="B11" s="51" t="inlineStr">
        <is>
          <t>Scope creep into a full LMS delays the core loop indefinitely</t>
        </is>
      </c>
      <c r="C11" s="51" t="inlineStr">
        <is>
          <t>High</t>
        </is>
      </c>
      <c r="D11" s="51" t="inlineStr">
        <is>
          <t>High</t>
        </is>
      </c>
      <c r="E11" s="51" t="inlineStr">
        <is>
          <t>Tab 01 out-of-scope list is binding; anything new enters the backlog as P3 and does not displace P0/P1</t>
        </is>
      </c>
      <c r="F11" s="51" t="inlineStr">
        <is>
          <t>All</t>
        </is>
      </c>
    </row>
    <row r="12" ht="23.25" customHeight="1" s="38">
      <c r="A12" s="51" t="inlineStr">
        <is>
          <t>R09</t>
        </is>
      </c>
      <c r="B12" s="51" t="inlineStr">
        <is>
          <t>Child data breach or non-compliance with DPDP Act 2023</t>
        </is>
      </c>
      <c r="C12" s="51" t="inlineStr">
        <is>
          <t>Low</t>
        </is>
      </c>
      <c r="D12" s="51" t="inlineStr">
        <is>
          <t>Severe</t>
        </is>
      </c>
      <c r="E12" s="51" t="inlineStr">
        <is>
          <t>Consent capture, encryption at rest, signed short-lived URLs, isolation tests on every endpoint, export and delete, audit log — all before any external user</t>
        </is>
      </c>
      <c r="F12" s="51" t="inlineStr">
        <is>
          <t>M20</t>
        </is>
      </c>
    </row>
    <row r="13" ht="23.25" customHeight="1" s="38">
      <c r="A13" s="51" t="inlineStr">
        <is>
          <t>R10</t>
        </is>
      </c>
      <c r="B13" s="51" t="inlineStr">
        <is>
          <t>The parent stops uploading attempts and the loop dies</t>
        </is>
      </c>
      <c r="C13" s="51" t="inlineStr">
        <is>
          <t>Medium</t>
        </is>
      </c>
      <c r="D13" s="51" t="inlineStr">
        <is>
          <t>High</t>
        </is>
      </c>
      <c r="E13" s="51" t="inlineStr">
        <is>
          <t>Make upload a two-minute job: photograph, confirm, done; nudges on WhatsApp; show the tracker moving immediately after each evaluation</t>
        </is>
      </c>
      <c r="F13" s="51" t="inlineStr">
        <is>
          <t>M10, M16</t>
        </is>
      </c>
    </row>
    <row r="14" ht="23.25" customHeight="1" s="38">
      <c r="A14" s="51" t="inlineStr">
        <is>
          <t>R11</t>
        </is>
      </c>
      <c r="B14" s="51" t="inlineStr">
        <is>
          <t>Single-developer dependency; the project stalls if that person is unavailable</t>
        </is>
      </c>
      <c r="C14" s="51" t="inlineStr">
        <is>
          <t>Medium</t>
        </is>
      </c>
      <c r="D14" s="51" t="inlineStr">
        <is>
          <t>High</t>
        </is>
      </c>
      <c r="E14" s="51" t="inlineStr">
        <is>
          <t>Documentation and decision log in-repo from week one; no undocumented prompts; conventional structure a new developer can pick up</t>
        </is>
      </c>
      <c r="F14" s="51" t="inlineStr">
        <is>
          <t>M22</t>
        </is>
      </c>
    </row>
    <row r="15" ht="23.25" customHeight="1" s="38">
      <c r="A15" s="51" t="inlineStr">
        <is>
          <t>R12</t>
        </is>
      </c>
      <c r="B15" s="51" t="inlineStr">
        <is>
          <t>Prototype's client-side seeded mastery data leaks into production and shows fake scores</t>
        </is>
      </c>
      <c r="C15" s="51" t="inlineStr">
        <is>
          <t>Medium</t>
        </is>
      </c>
      <c r="D15" s="51" t="inlineStr">
        <is>
          <t>Medium</t>
        </is>
      </c>
      <c r="E15" s="51" t="inlineStr">
        <is>
          <t>Delete seeding code in Phase 0; server is the only source of truth for mastery; test asserts no seeded students exist in production</t>
        </is>
      </c>
      <c r="F15" s="51" t="inlineStr">
        <is>
          <t>M03</t>
        </is>
      </c>
    </row>
    <row r="16" ht="23.25" customHeight="1" s="38">
      <c r="A16" s="51" t="inlineStr">
        <is>
          <t>R13</t>
        </is>
      </c>
      <c r="B16" s="51" t="inlineStr">
        <is>
          <t>Blueprint model cannot express a real school pattern (internal choice, map work, sectional limits)</t>
        </is>
      </c>
      <c r="C16" s="51" t="inlineStr">
        <is>
          <t>Medium</t>
        </is>
      </c>
      <c r="D16" s="51" t="inlineStr">
        <is>
          <t>Medium</t>
        </is>
      </c>
      <c r="E16" s="51" t="inlineStr">
        <is>
          <t>Model blueprints as data with sections, choice rules and word limits; validate against three real papers before building the generator on top</t>
        </is>
      </c>
      <c r="F16" s="51" t="inlineStr">
        <is>
          <t>M06</t>
        </is>
      </c>
    </row>
    <row r="17" ht="23.25" customHeight="1" s="38">
      <c r="A17" s="51" t="inlineStr">
        <is>
          <t>R14</t>
        </is>
      </c>
      <c r="B17" s="51" t="inlineStr">
        <is>
          <t>Vision or LLM provider changes pricing, limits or model availability mid-build</t>
        </is>
      </c>
      <c r="C17" s="51" t="inlineStr">
        <is>
          <t>Low</t>
        </is>
      </c>
      <c r="D17" s="51" t="inlineStr">
        <is>
          <t>Medium</t>
        </is>
      </c>
      <c r="E17" s="51" t="inlineStr">
        <is>
          <t>Provider-agnostic AI wrapper; model choice is configuration; fallback path defined per AI function in tab 07</t>
        </is>
      </c>
      <c r="F17" s="51" t="inlineStr">
        <is>
          <t>M19</t>
        </is>
      </c>
    </row>
  </sheetData>
  <autoFilter ref="A3:F17"/>
  <mergeCells count="1">
    <mergeCell ref="A1:F1"/>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G25"/>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8" customWidth="1" style="38" min="1" max="1"/>
    <col width="10" customWidth="1" style="38" min="2" max="2"/>
    <col width="24" customWidth="1" style="38" min="3" max="3"/>
    <col width="60" customWidth="1" style="38" min="4" max="4"/>
    <col width="74" customWidth="1" style="38" min="5" max="5"/>
    <col width="18" customWidth="1" style="38" min="6" max="6"/>
    <col width="10" customWidth="1" style="38" min="7" max="7"/>
  </cols>
  <sheetData>
    <row r="1" ht="24" customHeight="1" s="38">
      <c r="A1" s="42" t="inlineStr">
        <is>
          <t>12  QA and Test Plan  —  the accuracy tests (T12, T13, T15) matter more than code coverage.</t>
        </is>
      </c>
    </row>
    <row r="3" ht="30" customHeight="1" s="38">
      <c r="A3" s="2" t="inlineStr">
        <is>
          <t>ID</t>
        </is>
      </c>
      <c r="B3" s="2" t="inlineStr">
        <is>
          <t>Module</t>
        </is>
      </c>
      <c r="C3" s="2" t="inlineStr">
        <is>
          <t>Area</t>
        </is>
      </c>
      <c r="D3" s="2" t="inlineStr">
        <is>
          <t>Scenario</t>
        </is>
      </c>
      <c r="E3" s="2" t="inlineStr">
        <is>
          <t>Expected Result</t>
        </is>
      </c>
      <c r="F3" s="2" t="inlineStr">
        <is>
          <t>Type</t>
        </is>
      </c>
      <c r="G3" s="2" t="inlineStr">
        <is>
          <t>Priority</t>
        </is>
      </c>
    </row>
    <row r="4" ht="15" customHeight="1" s="38">
      <c r="A4" s="51" t="inlineStr">
        <is>
          <t>T01</t>
        </is>
      </c>
      <c r="B4" s="51" t="inlineStr">
        <is>
          <t>M02</t>
        </is>
      </c>
      <c r="C4" s="51" t="inlineStr">
        <is>
          <t>Auth &amp; roles</t>
        </is>
      </c>
      <c r="D4" s="51" t="inlineStr">
        <is>
          <t>Student account attempts to open the evaluation-override endpoint</t>
        </is>
      </c>
      <c r="E4" s="51" t="inlineStr">
        <is>
          <t>403 from the server, not merely a hidden UI button</t>
        </is>
      </c>
      <c r="F4" s="51" t="inlineStr">
        <is>
          <t>Automated</t>
        </is>
      </c>
      <c r="G4" s="51" t="inlineStr">
        <is>
          <t>P0</t>
        </is>
      </c>
    </row>
    <row r="5" ht="15" customHeight="1" s="38">
      <c r="A5" s="51" t="inlineStr">
        <is>
          <t>T02</t>
        </is>
      </c>
      <c r="B5" s="51" t="inlineStr">
        <is>
          <t>M02</t>
        </is>
      </c>
      <c r="C5" s="51" t="inlineStr">
        <is>
          <t>Household isolation</t>
        </is>
      </c>
      <c r="D5" s="51" t="inlineStr">
        <is>
          <t>Household A requests every endpoint with Household B's IDs</t>
        </is>
      </c>
      <c r="E5" s="51" t="inlineStr">
        <is>
          <t>Every request denied; automated sweep across all routes</t>
        </is>
      </c>
      <c r="F5" s="51" t="inlineStr">
        <is>
          <t>Automated</t>
        </is>
      </c>
      <c r="G5" s="51" t="inlineStr">
        <is>
          <t>P0</t>
        </is>
      </c>
    </row>
    <row r="6" ht="15" customHeight="1" s="38">
      <c r="A6" s="51" t="inlineStr">
        <is>
          <t>T03</t>
        </is>
      </c>
      <c r="B6" s="51" t="inlineStr">
        <is>
          <t>M04</t>
        </is>
      </c>
      <c r="C6" s="51" t="inlineStr">
        <is>
          <t>Scope guard</t>
        </is>
      </c>
      <c r="D6" s="51" t="inlineStr">
        <is>
          <t>Generator is asked for a concept marked OUT of scope</t>
        </is>
      </c>
      <c r="E6" s="51" t="inlineStr">
        <is>
          <t>Generation refuses with a clear reason; no question produced</t>
        </is>
      </c>
      <c r="F6" s="51" t="inlineStr">
        <is>
          <t>Automated</t>
        </is>
      </c>
      <c r="G6" s="51" t="inlineStr">
        <is>
          <t>P0</t>
        </is>
      </c>
    </row>
    <row r="7" ht="23.25" customHeight="1" s="38">
      <c r="A7" s="51" t="inlineStr">
        <is>
          <t>T04</t>
        </is>
      </c>
      <c r="B7" s="51" t="inlineStr">
        <is>
          <t>M05</t>
        </is>
      </c>
      <c r="C7" s="51" t="inlineStr">
        <is>
          <t>Question validation</t>
        </is>
      </c>
      <c r="D7" s="51" t="inlineStr">
        <is>
          <t>Save an MCQ with two correct options and one with step marks not summing to the question marks</t>
        </is>
      </c>
      <c r="E7" s="51" t="inlineStr">
        <is>
          <t>Both rejected with field-level errors</t>
        </is>
      </c>
      <c r="F7" s="51" t="inlineStr">
        <is>
          <t>Automated</t>
        </is>
      </c>
      <c r="G7" s="51" t="inlineStr">
        <is>
          <t>P0</t>
        </is>
      </c>
    </row>
    <row r="8" ht="15" customHeight="1" s="38">
      <c r="A8" s="51" t="inlineStr">
        <is>
          <t>T05</t>
        </is>
      </c>
      <c r="B8" s="51" t="inlineStr">
        <is>
          <t>M06</t>
        </is>
      </c>
      <c r="C8" s="51" t="inlineStr">
        <is>
          <t>Blueprint compliance</t>
        </is>
      </c>
      <c r="D8" s="51" t="inlineStr">
        <is>
          <t>Generate 20 papers from one blueprint</t>
        </is>
      </c>
      <c r="E8" s="51" t="inlineStr">
        <is>
          <t>All 20 match section counts and marks exactly; Bloom mix within +/-5pp or a stated shortfall</t>
        </is>
      </c>
      <c r="F8" s="51" t="inlineStr">
        <is>
          <t>Automated</t>
        </is>
      </c>
      <c r="G8" s="51" t="inlineStr">
        <is>
          <t>P0</t>
        </is>
      </c>
    </row>
    <row r="9" ht="23.25" customHeight="1" s="38">
      <c r="A9" s="51" t="inlineStr">
        <is>
          <t>T06</t>
        </is>
      </c>
      <c r="B9" s="51" t="inlineStr">
        <is>
          <t>M06</t>
        </is>
      </c>
      <c r="C9" s="51" t="inlineStr">
        <is>
          <t>Weighted selection</t>
        </is>
      </c>
      <c r="D9" s="51" t="inlineStr">
        <is>
          <t>Student with 5 weak, 8 needs-practice, 12 strong concepts generates a paper</t>
        </is>
      </c>
      <c r="E9" s="51" t="inlineStr">
        <is>
          <t>Distribution lands near 40/40/20 and the actual split is shown to the parent</t>
        </is>
      </c>
      <c r="F9" s="51" t="inlineStr">
        <is>
          <t>Automated</t>
        </is>
      </c>
      <c r="G9" s="51" t="inlineStr">
        <is>
          <t>P0</t>
        </is>
      </c>
    </row>
    <row r="10" ht="23.25" customHeight="1" s="38">
      <c r="A10" s="51" t="inlineStr">
        <is>
          <t>T07</t>
        </is>
      </c>
      <c r="B10" s="51" t="inlineStr">
        <is>
          <t>M06</t>
        </is>
      </c>
      <c r="C10" s="51" t="inlineStr">
        <is>
          <t>Repeat avoidance</t>
        </is>
      </c>
      <c r="D10" s="51" t="inlineStr">
        <is>
          <t>Generate three consecutive papers on the same chapter</t>
        </is>
      </c>
      <c r="E10" s="51" t="inlineStr">
        <is>
          <t>No question repeats within the configured window unless the bank is exhausted, and exhaustion is reported</t>
        </is>
      </c>
      <c r="F10" s="51" t="inlineStr">
        <is>
          <t>Automated</t>
        </is>
      </c>
      <c r="G10" s="51" t="inlineStr">
        <is>
          <t>P1</t>
        </is>
      </c>
    </row>
    <row r="11" ht="23.25" customHeight="1" s="38">
      <c r="A11" s="51" t="inlineStr">
        <is>
          <t>T08</t>
        </is>
      </c>
      <c r="B11" s="51" t="inlineStr">
        <is>
          <t>M07</t>
        </is>
      </c>
      <c r="C11" s="51" t="inlineStr">
        <is>
          <t>Print fidelity</t>
        </is>
      </c>
      <c r="D11" s="51" t="inlineStr">
        <is>
          <t>Print the PDF on A4 in Chrome, Edge, Acrobat and a mobile print path</t>
        </is>
      </c>
      <c r="E11" s="51" t="inlineStr">
        <is>
          <t>No clipped margins; no question split across a page break; rough-work column present on every working page</t>
        </is>
      </c>
      <c r="F11" s="51" t="inlineStr">
        <is>
          <t>Manual</t>
        </is>
      </c>
      <c r="G11" s="51" t="inlineStr">
        <is>
          <t>P0</t>
        </is>
      </c>
    </row>
    <row r="12" ht="15" customHeight="1" s="38">
      <c r="A12" s="51" t="inlineStr">
        <is>
          <t>T09</t>
        </is>
      </c>
      <c r="B12" s="51" t="inlineStr">
        <is>
          <t>M07</t>
        </is>
      </c>
      <c r="C12" s="51" t="inlineStr">
        <is>
          <t>Key separation</t>
        </is>
      </c>
      <c r="D12" s="51" t="inlineStr">
        <is>
          <t>Student role requests the paper PDF</t>
        </is>
      </c>
      <c r="E12" s="51" t="inlineStr">
        <is>
          <t>Answer key is never included and the key endpoint is denied for that role</t>
        </is>
      </c>
      <c r="F12" s="51" t="inlineStr">
        <is>
          <t>Automated</t>
        </is>
      </c>
      <c r="G12" s="51" t="inlineStr">
        <is>
          <t>P0</t>
        </is>
      </c>
    </row>
    <row r="13" ht="15" customHeight="1" s="38">
      <c r="A13" s="51" t="inlineStr">
        <is>
          <t>T10</t>
        </is>
      </c>
      <c r="B13" s="51" t="inlineStr">
        <is>
          <t>M08</t>
        </is>
      </c>
      <c r="C13" s="51" t="inlineStr">
        <is>
          <t>Autosave &amp; resume</t>
        </is>
      </c>
      <c r="D13" s="51" t="inlineStr">
        <is>
          <t>Kill the browser mid-attempt and reopen on another device</t>
        </is>
      </c>
      <c r="E13" s="51" t="inlineStr">
        <is>
          <t>All answers preserved; timer continues correctly; no duplicate attempt created</t>
        </is>
      </c>
      <c r="F13" s="51" t="inlineStr">
        <is>
          <t>Manual</t>
        </is>
      </c>
      <c r="G13" s="51" t="inlineStr">
        <is>
          <t>P0</t>
        </is>
      </c>
    </row>
    <row r="14" ht="15" customHeight="1" s="38">
      <c r="A14" s="51" t="inlineStr">
        <is>
          <t>T11</t>
        </is>
      </c>
      <c r="B14" s="51" t="inlineStr">
        <is>
          <t>M08</t>
        </is>
      </c>
      <c r="C14" s="51" t="inlineStr">
        <is>
          <t>Blank warning</t>
        </is>
      </c>
      <c r="D14" s="51" t="inlineStr">
        <is>
          <t>Submit with three unanswered questions</t>
        </is>
      </c>
      <c r="E14" s="51" t="inlineStr">
        <is>
          <t>Explicit blank warning listing the question numbers before submission is allowed</t>
        </is>
      </c>
      <c r="F14" s="51" t="inlineStr">
        <is>
          <t>Automated</t>
        </is>
      </c>
      <c r="G14" s="51" t="inlineStr">
        <is>
          <t>P0</t>
        </is>
      </c>
    </row>
    <row r="15" ht="23.25" customHeight="1" s="38">
      <c r="A15" s="51" t="inlineStr">
        <is>
          <t>T12</t>
        </is>
      </c>
      <c r="B15" s="51" t="inlineStr">
        <is>
          <t>M09</t>
        </is>
      </c>
      <c r="C15" s="51" t="inlineStr">
        <is>
          <t>Objective scoring accuracy</t>
        </is>
      </c>
      <c r="D15" s="51" t="inlineStr">
        <is>
          <t>100-answer fixture across MCQ, true/false and fill-in with unit and format variants</t>
        </is>
      </c>
      <c r="E15" s="51" t="inlineStr">
        <is>
          <t>100% agreement with the human key; normalisation handles units, symbols and Indian numerals</t>
        </is>
      </c>
      <c r="F15" s="51" t="inlineStr">
        <is>
          <t>Automated</t>
        </is>
      </c>
      <c r="G15" s="51" t="inlineStr">
        <is>
          <t>P0</t>
        </is>
      </c>
    </row>
    <row r="16" ht="15" customHeight="1" s="38">
      <c r="A16" s="51" t="inlineStr">
        <is>
          <t>T13</t>
        </is>
      </c>
      <c r="B16" s="51" t="inlineStr">
        <is>
          <t>M09</t>
        </is>
      </c>
      <c r="C16" s="51" t="inlineStr">
        <is>
          <t>Subjective grading accuracy</t>
        </is>
      </c>
      <c r="D16" s="51" t="inlineStr">
        <is>
          <t>100 human-marked short and long answers</t>
        </is>
      </c>
      <c r="E16" s="51" t="inlineStr">
        <is>
          <t>AI agreement &gt;=85%; false-generous rate reported separately from false-harsh</t>
        </is>
      </c>
      <c r="F16" s="51" t="inlineStr">
        <is>
          <t>Automated harness</t>
        </is>
      </c>
      <c r="G16" s="51" t="inlineStr">
        <is>
          <t>P0</t>
        </is>
      </c>
    </row>
    <row r="17" ht="15" customHeight="1" s="38">
      <c r="A17" s="51" t="inlineStr">
        <is>
          <t>T14</t>
        </is>
      </c>
      <c r="B17" s="51" t="inlineStr">
        <is>
          <t>M09</t>
        </is>
      </c>
      <c r="C17" s="51" t="inlineStr">
        <is>
          <t>Human override integrity</t>
        </is>
      </c>
      <c r="D17" s="51" t="inlineStr">
        <is>
          <t>Parent changes an AI mark and confirms</t>
        </is>
      </c>
      <c r="E17" s="51" t="inlineStr">
        <is>
          <t>Tracker uses the confirmed value only; original AI value retained; audit row written</t>
        </is>
      </c>
      <c r="F17" s="51" t="inlineStr">
        <is>
          <t>Automated</t>
        </is>
      </c>
      <c r="G17" s="51" t="inlineStr">
        <is>
          <t>P0</t>
        </is>
      </c>
    </row>
    <row r="18" ht="23.25" customHeight="1" s="38">
      <c r="A18" s="51" t="inlineStr">
        <is>
          <t>T15</t>
        </is>
      </c>
      <c r="B18" s="51" t="inlineStr">
        <is>
          <t>M10</t>
        </is>
      </c>
      <c r="C18" s="51" t="inlineStr">
        <is>
          <t>OCR accuracy</t>
        </is>
      </c>
      <c r="D18" s="51" t="inlineStr">
        <is>
          <t>20 real handwritten pages, English and Telugu</t>
        </is>
      </c>
      <c r="E18" s="51" t="inlineStr">
        <is>
          <t>Per-question character accuracy reported; every answer below threshold is flagged, none silently scored</t>
        </is>
      </c>
      <c r="F18" s="51" t="inlineStr">
        <is>
          <t>Manual + harness</t>
        </is>
      </c>
      <c r="G18" s="51" t="inlineStr">
        <is>
          <t>P1</t>
        </is>
      </c>
    </row>
    <row r="19" ht="15" customHeight="1" s="38">
      <c r="A19" s="51" t="inlineStr">
        <is>
          <t>T16</t>
        </is>
      </c>
      <c r="B19" s="51" t="inlineStr">
        <is>
          <t>M10</t>
        </is>
      </c>
      <c r="C19" s="51" t="inlineStr">
        <is>
          <t>Page mapping</t>
        </is>
      </c>
      <c r="D19" s="51" t="inlineStr">
        <is>
          <t>Upload pages out of order with one page missing</t>
        </is>
      </c>
      <c r="E19" s="51" t="inlineStr">
        <is>
          <t>Mapping errors surfaced for manual assignment; no answer attached to the wrong question</t>
        </is>
      </c>
      <c r="F19" s="51" t="inlineStr">
        <is>
          <t>Manual</t>
        </is>
      </c>
      <c r="G19" s="51" t="inlineStr">
        <is>
          <t>P1</t>
        </is>
      </c>
    </row>
    <row r="20" ht="15" customHeight="1" s="38">
      <c r="A20" s="51" t="inlineStr">
        <is>
          <t>T17</t>
        </is>
      </c>
      <c r="B20" s="51" t="inlineStr">
        <is>
          <t>M11</t>
        </is>
      </c>
      <c r="C20" s="51" t="inlineStr">
        <is>
          <t>Delivery Gap maths</t>
        </is>
      </c>
      <c r="D20" s="51" t="inlineStr">
        <is>
          <t>Evaluation with known actual and knowledge values</t>
        </is>
      </c>
      <c r="E20" s="51" t="inlineStr">
        <is>
          <t>Gap computed correctly per paper and rolled up per subject; matches a hand calculation</t>
        </is>
      </c>
      <c r="F20" s="51" t="inlineStr">
        <is>
          <t>Automated</t>
        </is>
      </c>
      <c r="G20" s="51" t="inlineStr">
        <is>
          <t>P0</t>
        </is>
      </c>
    </row>
    <row r="21" ht="15" customHeight="1" s="38">
      <c r="A21" s="51" t="inlineStr">
        <is>
          <t>T18</t>
        </is>
      </c>
      <c r="B21" s="51" t="inlineStr">
        <is>
          <t>M12</t>
        </is>
      </c>
      <c r="C21" s="51" t="inlineStr">
        <is>
          <t>Priority flag rules</t>
        </is>
      </c>
      <c r="D21" s="51" t="inlineStr">
        <is>
          <t>Concept scores below 50% twice in succession</t>
        </is>
      </c>
      <c r="E21" s="51" t="inlineStr">
        <is>
          <t>Status becomes PRIORITY and a 5-question mini test is created automatically</t>
        </is>
      </c>
      <c r="F21" s="51" t="inlineStr">
        <is>
          <t>Automated</t>
        </is>
      </c>
      <c r="G21" s="51" t="inlineStr">
        <is>
          <t>P0</t>
        </is>
      </c>
    </row>
    <row r="22" ht="15" customHeight="1" s="38">
      <c r="A22" s="51" t="inlineStr">
        <is>
          <t>T19</t>
        </is>
      </c>
      <c r="B22" s="51" t="inlineStr">
        <is>
          <t>M12</t>
        </is>
      </c>
      <c r="C22" s="51" t="inlineStr">
        <is>
          <t>Maintenance &amp; retirement</t>
        </is>
      </c>
      <c r="D22" s="51" t="inlineStr">
        <is>
          <t>Concept scores &gt;=85% twice, then three times</t>
        </is>
      </c>
      <c r="E22" s="51" t="inlineStr">
        <is>
          <t>Moves to Maintenance at two, is retired from active tracking only at three</t>
        </is>
      </c>
      <c r="F22" s="51" t="inlineStr">
        <is>
          <t>Automated</t>
        </is>
      </c>
      <c r="G22" s="51" t="inlineStr">
        <is>
          <t>P1</t>
        </is>
      </c>
    </row>
    <row r="23" ht="15" customHeight="1" s="38">
      <c r="A23" s="51" t="inlineStr">
        <is>
          <t>T20</t>
        </is>
      </c>
      <c r="B23" s="51" t="inlineStr">
        <is>
          <t>M13</t>
        </is>
      </c>
      <c r="C23" s="51" t="inlineStr">
        <is>
          <t>Remediation loop</t>
        </is>
      </c>
      <c r="D23" s="51" t="inlineStr">
        <is>
          <t>Drill attempted and marked</t>
        </is>
      </c>
      <c r="E23" s="51" t="inlineStr">
        <is>
          <t>Result writes back to the ledger and clears or sustains the flag correctly</t>
        </is>
      </c>
      <c r="F23" s="51" t="inlineStr">
        <is>
          <t>Automated</t>
        </is>
      </c>
      <c r="G23" s="51" t="inlineStr">
        <is>
          <t>P1</t>
        </is>
      </c>
    </row>
    <row r="24" ht="15" customHeight="1" s="38">
      <c r="A24" s="51" t="inlineStr">
        <is>
          <t>T21</t>
        </is>
      </c>
      <c r="B24" s="51" t="inlineStr">
        <is>
          <t>M18</t>
        </is>
      </c>
      <c r="C24" s="51" t="inlineStr">
        <is>
          <t>Telugu rendering</t>
        </is>
      </c>
      <c r="D24" s="51" t="inlineStr">
        <is>
          <t>200-word Telugu sample with ottulu and deerghalu on screen and in PDF</t>
        </is>
      </c>
      <c r="E24" s="51" t="inlineStr">
        <is>
          <t>All conjuncts render correctly; no tofu boxes; text is selectable and searchable in the PDF</t>
        </is>
      </c>
      <c r="F24" s="51" t="inlineStr">
        <is>
          <t>Manual</t>
        </is>
      </c>
      <c r="G24" s="51" t="inlineStr">
        <is>
          <t>P1</t>
        </is>
      </c>
    </row>
    <row r="25" ht="23.25" customHeight="1" s="38">
      <c r="A25" s="51" t="inlineStr">
        <is>
          <t>T22</t>
        </is>
      </c>
      <c r="B25" s="51" t="inlineStr">
        <is>
          <t>M19</t>
        </is>
      </c>
      <c r="C25" s="51" t="inlineStr">
        <is>
          <t>Cost ceiling</t>
        </is>
      </c>
      <c r="D25" s="51" t="inlineStr">
        <is>
          <t>Generate 50 papers and 20 evaluations under load</t>
        </is>
      </c>
      <c r="E25" s="51" t="inlineStr">
        <is>
          <t>p95 latency and rupee cost per operation recorded; daily cap triggers a graceful message, not a crash</t>
        </is>
      </c>
      <c r="F25" s="51" t="inlineStr">
        <is>
          <t>Automated</t>
        </is>
      </c>
      <c r="G25" s="51" t="inlineStr">
        <is>
          <t>P2</t>
        </is>
      </c>
    </row>
  </sheetData>
  <autoFilter ref="A3:G25"/>
  <mergeCells count="1">
    <mergeCell ref="A1:G1"/>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F36"/>
  <sheetViews>
    <sheetView showGridLines="0" zoomScaleNormal="100" workbookViewId="0">
      <selection activeCell="A1" sqref="A1"/>
    </sheetView>
  </sheetViews>
  <sheetFormatPr baseColWidth="8" defaultColWidth="8.6328125" defaultRowHeight="14.5"/>
  <cols>
    <col width="38" customWidth="1" style="38" min="1" max="1"/>
    <col width="18" customWidth="1" style="38" min="2" max="2"/>
    <col width="16" customWidth="1" style="38" min="3" max="3"/>
    <col width="18" customWidth="1" style="38" min="4" max="5"/>
    <col width="44" customWidth="1" style="38" min="6" max="6"/>
  </cols>
  <sheetData>
    <row r="1" ht="17.25" customHeight="1" s="38">
      <c r="A1" s="42" t="inlineStr">
        <is>
          <t>13  Effort Summary  —  all figures roll up from tab 03</t>
        </is>
      </c>
    </row>
    <row r="3" ht="15" customHeight="1" s="38">
      <c r="A3" s="40" t="inlineStr">
        <is>
          <t>Assumptions</t>
        </is>
      </c>
    </row>
    <row r="4" ht="15" customHeight="1" s="38">
      <c r="A4" s="9" t="inlineStr">
        <is>
          <t>Developer-days available per week</t>
        </is>
      </c>
      <c r="B4" s="12" t="n">
        <v>4.5</v>
      </c>
      <c r="C4" s="46" t="inlineStr">
        <is>
          <t>One developer with an AI coding assistant, allowing for meetings and rework.</t>
        </is>
      </c>
    </row>
    <row r="5" ht="15" customHeight="1" s="38">
      <c r="A5" s="9" t="inlineStr">
        <is>
          <t>Contingency buffer</t>
        </is>
      </c>
      <c r="B5" s="17" t="n">
        <v>0.25</v>
      </c>
      <c r="C5" s="46" t="inlineStr">
        <is>
          <t>25% added for the unknowns that always appear — OCR tuning and print layout in particular.</t>
        </is>
      </c>
    </row>
    <row r="6" ht="15" customHeight="1" s="38">
      <c r="A6" s="9" t="inlineStr">
        <is>
          <t>Blended day rate (INR)</t>
        </is>
      </c>
      <c r="B6" s="18" t="n">
        <v>6000</v>
      </c>
      <c r="C6" s="46" t="inlineStr">
        <is>
          <t>Change to your own rate, or set to 0 if you are building it yourself.</t>
        </is>
      </c>
    </row>
    <row r="8" ht="15" customHeight="1" s="38">
      <c r="A8" s="40" t="inlineStr">
        <is>
          <t>By Phase</t>
        </is>
      </c>
    </row>
    <row r="9" ht="15" customHeight="1" s="38">
      <c r="A9" s="19" t="inlineStr">
        <is>
          <t>Phase</t>
        </is>
      </c>
      <c r="B9" s="19" t="inlineStr">
        <is>
          <t>Features</t>
        </is>
      </c>
      <c r="C9" s="19" t="inlineStr">
        <is>
          <t>Base Days</t>
        </is>
      </c>
      <c r="D9" s="19" t="inlineStr">
        <is>
          <t>With Buffer</t>
        </is>
      </c>
      <c r="E9" s="19" t="inlineStr">
        <is>
          <t>Calendar Weeks</t>
        </is>
      </c>
      <c r="F9" s="19" t="inlineStr">
        <is>
          <t>Indicative Cost (INR)</t>
        </is>
      </c>
    </row>
    <row r="10" ht="15" customHeight="1" s="38">
      <c r="A10" s="20" t="inlineStr">
        <is>
          <t>P0 Foundation</t>
        </is>
      </c>
      <c r="B10" s="4">
        <f>SUMPRODUCT((LEFT('02 Module Master'!$C$4:$C$25,13)="P0 Foundation")*'02 Module Master'!$I$4:$I$25)</f>
        <v/>
      </c>
      <c r="C10" s="4">
        <f>SUMPRODUCT((LEFT('02 Module Master'!$C$4:$C$25,13)="P0 Foundation")*'02 Module Master'!$J$4:$J$25)</f>
        <v/>
      </c>
      <c r="D10" s="4">
        <f>ROUND(C10*(1+$B$5),0)</f>
        <v/>
      </c>
      <c r="E10" s="4">
        <f>ROUNDUP(D10/$B$4,0)</f>
        <v/>
      </c>
      <c r="F10" s="21">
        <f>D10*$B$6</f>
        <v/>
      </c>
    </row>
    <row r="11" ht="15" customHeight="1" s="38">
      <c r="A11" s="20" t="inlineStr">
        <is>
          <t>P1 Core</t>
        </is>
      </c>
      <c r="B11" s="4">
        <f>SUMPRODUCT((LEFT('02 Module Master'!$C$4:$C$25,7)="P1 Core")*'02 Module Master'!$I$4:$I$25)</f>
        <v/>
      </c>
      <c r="C11" s="4">
        <f>SUMPRODUCT((LEFT('02 Module Master'!$C$4:$C$25,7)="P1 Core")*'02 Module Master'!$J$4:$J$25)</f>
        <v/>
      </c>
      <c r="D11" s="4">
        <f>ROUND(C11*(1+$B$5),0)</f>
        <v/>
      </c>
      <c r="E11" s="4">
        <f>ROUNDUP(D11/$B$4,0)</f>
        <v/>
      </c>
      <c r="F11" s="21">
        <f>D11*$B$6</f>
        <v/>
      </c>
    </row>
    <row r="12" ht="15" customHeight="1" s="38">
      <c r="A12" s="20" t="inlineStr">
        <is>
          <t>P2 Diagnostics</t>
        </is>
      </c>
      <c r="B12" s="4">
        <f>SUMPRODUCT((LEFT('02 Module Master'!$C$4:$C$25,14)="P2 Diagnostics")*'02 Module Master'!$I$4:$I$25)</f>
        <v/>
      </c>
      <c r="C12" s="4">
        <f>SUMPRODUCT((LEFT('02 Module Master'!$C$4:$C$25,14)="P2 Diagnostics")*'02 Module Master'!$J$4:$J$25)</f>
        <v/>
      </c>
      <c r="D12" s="4">
        <f>ROUND(C12*(1+$B$5),0)</f>
        <v/>
      </c>
      <c r="E12" s="4">
        <f>ROUNDUP(D12/$B$4,0)</f>
        <v/>
      </c>
      <c r="F12" s="21">
        <f>D12*$B$6</f>
        <v/>
      </c>
    </row>
    <row r="13" ht="15" customHeight="1" s="38">
      <c r="A13" s="20" t="inlineStr">
        <is>
          <t>P3 Engagement</t>
        </is>
      </c>
      <c r="B13" s="4">
        <f>SUMPRODUCT((LEFT('02 Module Master'!$C$4:$C$25,13)="P3 Engagement")*'02 Module Master'!$I$4:$I$25)</f>
        <v/>
      </c>
      <c r="C13" s="4">
        <f>SUMPRODUCT((LEFT('02 Module Master'!$C$4:$C$25,13)="P3 Engagement")*'02 Module Master'!$J$4:$J$25)</f>
        <v/>
      </c>
      <c r="D13" s="4">
        <f>ROUND(C13*(1+$B$5),0)</f>
        <v/>
      </c>
      <c r="E13" s="4">
        <f>ROUNDUP(D13/$B$4,0)</f>
        <v/>
      </c>
      <c r="F13" s="21">
        <f>D13*$B$6</f>
        <v/>
      </c>
    </row>
    <row r="14" ht="15" customHeight="1" s="38">
      <c r="A14" s="20" t="inlineStr">
        <is>
          <t>P4 Hardening</t>
        </is>
      </c>
      <c r="B14" s="4">
        <f>SUMPRODUCT((LEFT('02 Module Master'!$C$4:$C$25,12)="P4 Hardening")*'02 Module Master'!$I$4:$I$25)</f>
        <v/>
      </c>
      <c r="C14" s="4">
        <f>SUMPRODUCT((LEFT('02 Module Master'!$C$4:$C$25,12)="P4 Hardening")*'02 Module Master'!$J$4:$J$25)</f>
        <v/>
      </c>
      <c r="D14" s="4">
        <f>ROUND(C14*(1+$B$5),0)</f>
        <v/>
      </c>
      <c r="E14" s="4">
        <f>ROUNDUP(D14/$B$4,0)</f>
        <v/>
      </c>
      <c r="F14" s="21">
        <f>D14*$B$6</f>
        <v/>
      </c>
    </row>
    <row r="15" ht="15" customHeight="1" s="38">
      <c r="A15" s="22" t="inlineStr">
        <is>
          <t>TOTAL</t>
        </is>
      </c>
      <c r="B15" s="6">
        <f>B10+B11+B12+B13+B14</f>
        <v/>
      </c>
      <c r="C15" s="6">
        <f>C10+C11+C12+C13+C14</f>
        <v/>
      </c>
      <c r="D15" s="6">
        <f>D10+D11+D12+D13+D14</f>
        <v/>
      </c>
      <c r="E15" s="6">
        <f>E10+E11+E12+E13+E14</f>
        <v/>
      </c>
      <c r="F15" s="23">
        <f>F10+F11+F12+F13+F14</f>
        <v/>
      </c>
    </row>
    <row r="17" ht="15" customHeight="1" s="38">
      <c r="A17" s="40" t="inlineStr">
        <is>
          <t>By Priority</t>
        </is>
      </c>
    </row>
    <row r="18" ht="15" customHeight="1" s="38">
      <c r="A18" s="19" t="inlineStr">
        <is>
          <t>Priority</t>
        </is>
      </c>
      <c r="B18" s="19" t="inlineStr">
        <is>
          <t>Features</t>
        </is>
      </c>
      <c r="C18" s="19" t="inlineStr">
        <is>
          <t>Base Days</t>
        </is>
      </c>
      <c r="D18" s="19" t="inlineStr">
        <is>
          <t>With Buffer</t>
        </is>
      </c>
      <c r="E18" s="19" t="inlineStr">
        <is>
          <t>Calendar Weeks</t>
        </is>
      </c>
      <c r="F18" s="19" t="inlineStr">
        <is>
          <t>Meaning</t>
        </is>
      </c>
    </row>
    <row r="19" ht="15" customHeight="1" s="38">
      <c r="A19" s="20" t="inlineStr">
        <is>
          <t>P0</t>
        </is>
      </c>
      <c r="B19" s="4">
        <f>COUNTIF('03 Feature Backlog'!$F:$F,A19)</f>
        <v/>
      </c>
      <c r="C19" s="4">
        <f>SUMIF('03 Feature Backlog'!$F:$F,A19,'03 Feature Backlog'!$H:$H)</f>
        <v/>
      </c>
      <c r="D19" s="4">
        <f>ROUND(C19*(1+$B$5),0)</f>
        <v/>
      </c>
      <c r="E19" s="4">
        <f>ROUNDUP(D19/$B$4,0)</f>
        <v/>
      </c>
      <c r="F19" s="24" t="inlineStr">
        <is>
          <t>MVP blocker — the product does not work without it</t>
        </is>
      </c>
    </row>
    <row r="20" ht="15" customHeight="1" s="38">
      <c r="A20" s="20" t="inlineStr">
        <is>
          <t>P1</t>
        </is>
      </c>
      <c r="B20" s="4">
        <f>COUNTIF('03 Feature Backlog'!$F:$F,A20)</f>
        <v/>
      </c>
      <c r="C20" s="4">
        <f>SUMIF('03 Feature Backlog'!$F:$F,A20,'03 Feature Backlog'!$H:$H)</f>
        <v/>
      </c>
      <c r="D20" s="4">
        <f>ROUND(C20*(1+$B$5),0)</f>
        <v/>
      </c>
      <c r="E20" s="4">
        <f>ROUNDUP(D20/$B$4,0)</f>
        <v/>
      </c>
      <c r="F20" s="24" t="inlineStr">
        <is>
          <t>Needed for a usable v1</t>
        </is>
      </c>
    </row>
    <row r="21" ht="15" customHeight="1" s="38">
      <c r="A21" s="20" t="inlineStr">
        <is>
          <t>P2</t>
        </is>
      </c>
      <c r="B21" s="4">
        <f>COUNTIF('03 Feature Backlog'!$F:$F,A21)</f>
        <v/>
      </c>
      <c r="C21" s="4">
        <f>SUMIF('03 Feature Backlog'!$F:$F,A21,'03 Feature Backlog'!$H:$H)</f>
        <v/>
      </c>
      <c r="D21" s="4">
        <f>ROUND(C21*(1+$B$5),0)</f>
        <v/>
      </c>
      <c r="E21" s="4">
        <f>ROUNDUP(D21/$B$4,0)</f>
        <v/>
      </c>
      <c r="F21" s="24" t="inlineStr">
        <is>
          <t>Valuable, can follow launch</t>
        </is>
      </c>
    </row>
    <row r="22" ht="15" customHeight="1" s="38">
      <c r="A22" s="20" t="inlineStr">
        <is>
          <t>P3</t>
        </is>
      </c>
      <c r="B22" s="4">
        <f>COUNTIF('03 Feature Backlog'!$F:$F,A22)</f>
        <v/>
      </c>
      <c r="C22" s="4">
        <f>SUMIF('03 Feature Backlog'!$F:$F,A22,'03 Feature Backlog'!$H:$H)</f>
        <v/>
      </c>
      <c r="D22" s="4">
        <f>ROUND(C22*(1+$B$5),0)</f>
        <v/>
      </c>
      <c r="E22" s="4">
        <f>ROUNDUP(D22/$B$4,0)</f>
        <v/>
      </c>
      <c r="F22" s="24" t="inlineStr">
        <is>
          <t>Later or optional</t>
        </is>
      </c>
    </row>
    <row r="23" ht="15" customHeight="1" s="38">
      <c r="A23" s="22" t="inlineStr">
        <is>
          <t>TOTAL</t>
        </is>
      </c>
      <c r="B23" s="6">
        <f>SUM(B19:B22)</f>
        <v/>
      </c>
      <c r="C23" s="6">
        <f>SUM(C19:C22)</f>
        <v/>
      </c>
      <c r="D23" s="6">
        <f>SUM(D19:D22)</f>
        <v/>
      </c>
      <c r="E23" s="6">
        <f>SUM(E19:E22)</f>
        <v/>
      </c>
    </row>
    <row r="25" ht="15" customHeight="1" s="38">
      <c r="A25" s="40" t="inlineStr">
        <is>
          <t>Recurring running cost (indicative, monthly, single household)</t>
        </is>
      </c>
    </row>
    <row r="26" ht="15" customHeight="1" s="38">
      <c r="A26" s="19" t="inlineStr">
        <is>
          <t>Item</t>
        </is>
      </c>
      <c r="B26" s="19" t="inlineStr">
        <is>
          <t>Plan</t>
        </is>
      </c>
      <c r="C26" s="19" t="inlineStr">
        <is>
          <t>INR / month</t>
        </is>
      </c>
      <c r="D26" s="19" t="inlineStr">
        <is>
          <t>Note</t>
        </is>
      </c>
      <c r="E26" s="19" t="n"/>
      <c r="F26" s="19" t="n"/>
    </row>
    <row r="27" ht="15" customHeight="1" s="38">
      <c r="A27" s="20" t="inlineStr">
        <is>
          <t>Hosting (Vercel)</t>
        </is>
      </c>
      <c r="B27" s="20" t="inlineStr">
        <is>
          <t>Pro</t>
        </is>
      </c>
      <c r="C27" s="25" t="n">
        <v>1700</v>
      </c>
      <c r="D27" s="45" t="inlineStr">
        <is>
          <t>Free tier works until background jobs and long PDF renders start</t>
        </is>
      </c>
    </row>
    <row r="28" ht="15" customHeight="1" s="38">
      <c r="A28" s="20" t="inlineStr">
        <is>
          <t>Database (Neon / Supabase)</t>
        </is>
      </c>
      <c r="B28" s="20" t="inlineStr">
        <is>
          <t>Launch tier</t>
        </is>
      </c>
      <c r="C28" s="25" t="n">
        <v>2200</v>
      </c>
      <c r="D28" s="45" t="inlineStr">
        <is>
          <t>Free tier is adequate for a single family</t>
        </is>
      </c>
    </row>
    <row r="29" ht="15" customHeight="1" s="38">
      <c r="A29" s="20" t="inlineStr">
        <is>
          <t>File storage</t>
        </is>
      </c>
      <c r="B29" s="20" t="inlineStr">
        <is>
          <t>Pay as you go</t>
        </is>
      </c>
      <c r="C29" s="25" t="n">
        <v>400</v>
      </c>
      <c r="D29" s="45" t="inlineStr">
        <is>
          <t>Handwriting scans; a few GB per year</t>
        </is>
      </c>
    </row>
    <row r="30" ht="15" customHeight="1" s="38">
      <c r="A30" s="20" t="inlineStr">
        <is>
          <t>AI usage</t>
        </is>
      </c>
      <c r="B30" s="20" t="inlineStr">
        <is>
          <t>Metered</t>
        </is>
      </c>
      <c r="C30" s="25" t="n">
        <v>3000</v>
      </c>
      <c r="D30" s="45" t="inlineStr">
        <is>
          <t>Assumes ~40 papers generated and evaluated per month; verify against tab 07 model tiers</t>
        </is>
      </c>
    </row>
    <row r="31" ht="15" customHeight="1" s="38">
      <c r="A31" s="20" t="inlineStr">
        <is>
          <t>Background jobs</t>
        </is>
      </c>
      <c r="B31" s="20" t="inlineStr">
        <is>
          <t>Starter</t>
        </is>
      </c>
      <c r="C31" s="25" t="n">
        <v>0</v>
      </c>
      <c r="D31" s="45" t="inlineStr">
        <is>
          <t>Free tier sufficient at this volume</t>
        </is>
      </c>
    </row>
    <row r="32" ht="15" customHeight="1" s="38">
      <c r="A32" s="20" t="inlineStr">
        <is>
          <t>Email</t>
        </is>
      </c>
      <c r="B32" s="20" t="inlineStr">
        <is>
          <t>Free / Starter</t>
        </is>
      </c>
      <c r="C32" s="25" t="n">
        <v>0</v>
      </c>
      <c r="D32" s="45" t="inlineStr">
        <is>
          <t>Under 3,000 emails per month</t>
        </is>
      </c>
    </row>
    <row r="33" ht="15" customHeight="1" s="38">
      <c r="A33" s="20" t="inlineStr">
        <is>
          <t>Error tracking</t>
        </is>
      </c>
      <c r="B33" s="20" t="inlineStr">
        <is>
          <t>Free</t>
        </is>
      </c>
      <c r="C33" s="25" t="n">
        <v>0</v>
      </c>
      <c r="D33" s="45" t="inlineStr">
        <is>
          <t>Sentry developer tier</t>
        </is>
      </c>
    </row>
    <row r="34" ht="15" customHeight="1" s="38">
      <c r="A34" s="22" t="inlineStr">
        <is>
          <t>TOTAL / month</t>
        </is>
      </c>
      <c r="B34" s="26" t="n"/>
      <c r="C34" s="23">
        <f>SUM(C27:C33)</f>
        <v/>
      </c>
    </row>
    <row r="36" ht="15" customHeight="1" s="38">
      <c r="A36" s="47" t="inlineStr">
        <is>
          <t>All rupee figures are indicative estimates entered by hand, not quotes. Replace them with your actual pricing before using this for a budget decision.</t>
        </is>
      </c>
    </row>
  </sheetData>
  <mergeCells count="16">
    <mergeCell ref="D28:F28"/>
    <mergeCell ref="D29:F29"/>
    <mergeCell ref="D27:F27"/>
    <mergeCell ref="A36:F36"/>
    <mergeCell ref="A3:F3"/>
    <mergeCell ref="C4:F4"/>
    <mergeCell ref="D31:F31"/>
    <mergeCell ref="A1:F1"/>
    <mergeCell ref="D32:F32"/>
    <mergeCell ref="C6:F6"/>
    <mergeCell ref="A8:F8"/>
    <mergeCell ref="A17:F17"/>
    <mergeCell ref="D30:F30"/>
    <mergeCell ref="C5:F5"/>
    <mergeCell ref="D33:F33"/>
    <mergeCell ref="A25:F2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I28"/>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2" customWidth="1" style="38" min="1" max="1"/>
    <col width="46" customWidth="1" style="38" min="2" max="2"/>
    <col width="34" customWidth="1" style="38" min="3" max="3"/>
    <col width="30" customWidth="1" style="38" min="4" max="4"/>
    <col width="42" customWidth="1" style="38" min="5" max="5"/>
    <col width="44" customWidth="1" style="38" min="6" max="7"/>
  </cols>
  <sheetData>
    <row r="1" ht="24" customHeight="1" s="38">
      <c r="A1" s="42" t="inlineStr">
        <is>
          <t>14  Competitive Benchmark  —  where the white space is, and which P0 modules it justifies</t>
        </is>
      </c>
    </row>
    <row r="2" ht="15" customHeight="1" s="38">
      <c r="A2" s="48" t="inlineStr">
        <is>
          <t>Researched 05 Sep 2026 from the vendors' own sites and independent reviews. Prices are list prices, converted at roughly Rs 88/USD. Verify before quoting.</t>
        </is>
      </c>
    </row>
    <row r="4" ht="19.5" customHeight="1" s="38">
      <c r="A4" s="40" t="inlineStr">
        <is>
          <t>A.  Who is actually in this market</t>
        </is>
      </c>
    </row>
    <row r="5" ht="30" customHeight="1" s="38">
      <c r="A5" s="19" t="inlineStr">
        <is>
          <t>Player</t>
        </is>
      </c>
      <c r="B5" s="19" t="inlineStr">
        <is>
          <t>What it is</t>
        </is>
      </c>
      <c r="C5" s="19" t="inlineStr">
        <is>
          <t>Price</t>
        </is>
      </c>
      <c r="D5" s="19" t="inlineStr">
        <is>
          <t>Reach in India</t>
        </is>
      </c>
      <c r="E5" s="19" t="inlineStr">
        <is>
          <t>Closest overlap with you</t>
        </is>
      </c>
      <c r="F5" s="19" t="inlineStr">
        <is>
          <t>Where it stops</t>
        </is>
      </c>
      <c r="G5" s="19" t="inlineStr">
        <is>
          <t>What it means for your build</t>
        </is>
      </c>
    </row>
    <row r="6" ht="45.75" customHeight="1" s="38">
      <c r="A6" s="51" t="inlineStr">
        <is>
          <t>CK-12 Flexi</t>
        </is>
      </c>
      <c r="B6" s="51" t="inlineStr">
        <is>
          <t>Free AI tutor (US non-profit), maths and science, chat-first. Snap a problem, get a step-by-step solution. Chrome extension, mobile apps, LMS integration.</t>
        </is>
      </c>
      <c r="C6" s="51" t="inlineStr">
        <is>
          <t>Free, permanently. Donation and grant funded.</t>
        </is>
      </c>
      <c r="D6" s="51" t="inlineStr">
        <is>
          <t>Global, available in India. 1M+ Play Store downloads.</t>
        </is>
      </c>
      <c r="E6" s="51" t="inlineStr">
        <is>
          <t>Assesses knowledge state through conversation and adaptive quizzes; predictive estimation of knowledge gaps and mastery; builds a dynamic study plan.</t>
        </is>
      </c>
      <c r="F6" s="51" t="inlineStr">
        <is>
          <t>It solves the problem FOR the student. It never marks HER answer. No school syllabus alignment, no printed paper, no parent view. Independent reviews flag overreliance and answers arriving too fast.</t>
        </is>
      </c>
      <c r="G6" s="51" t="inlineStr">
        <is>
          <t>Sets the price floor at zero for generic AI homework help. Do not build chat tutoring.</t>
        </is>
      </c>
    </row>
    <row r="7" ht="34.5" customHeight="1" s="38">
      <c r="A7" s="51" t="inlineStr">
        <is>
          <t>Brilliant</t>
        </is>
      </c>
      <c r="B7" s="51" t="inlineStr">
        <is>
          <t>Paid STEM platform, grades 4-12 through adult. Interactive problem-solving, no video lectures. Koji AI tutor built in.</t>
        </is>
      </c>
      <c r="C7" s="51" t="inlineStr">
        <is>
          <t>$27.99/mo or ~$13.49/mo annual (~Rs 1,200-2,500/mo). Family plan for 6. Free tier = first chapter only.</t>
        </is>
      </c>
      <c r="D7" s="51" t="inlineStr">
        <is>
          <t>Global, sold in India at USD pricing. 10M+ learners.</t>
        </is>
      </c>
      <c r="E7" s="51" t="inlineStr">
        <is>
          <t>Tracks concepts mastered and designs practice sets from progress — the same mechanism as your 40/40/20 weighting.</t>
        </is>
      </c>
      <c r="F7" s="51" t="inlineStr">
        <is>
          <t>Own curriculum, not CBSE or any school's chapter scope. No exams, no marking, no parent diagnostic, English only, STEM only.</t>
        </is>
      </c>
      <c r="G7" s="51" t="inlineStr">
        <is>
          <t>Proves families pay for interactive practice. Proves the mastery-driven practice-set mechanism works.</t>
        </is>
      </c>
    </row>
    <row r="8" ht="34.5" customHeight="1" s="38">
      <c r="A8" s="51" t="inlineStr">
        <is>
          <t>Khanmigo (Khan Academy)</t>
        </is>
      </c>
      <c r="B8" s="51" t="inlineStr">
        <is>
          <t>Socratic AI tutor over Khan Academy's K-12 library. Image upload for maths and science including handwritten work.</t>
        </is>
      </c>
      <c r="C8" s="51" t="inlineStr">
        <is>
          <t>$4/mo or $44/yr for learners; free for teachers in 44+ countries.</t>
        </is>
      </c>
      <c r="D8" s="51" t="inlineStr">
        <is>
          <t>NOT available to Indian consumers — learner accounts require US residency and a US billing address.</t>
        </is>
      </c>
      <c r="E8" s="51" t="inlineStr">
        <is>
          <t>Guides rather than answers; parents can see the child's tutoring sessions; strongest content-safety standards of the AI tutors.</t>
        </is>
      </c>
      <c r="F8" s="51" t="inlineStr">
        <is>
          <t>Geographically closed to your market. Its own reviewers note it is not a grading platform — rubrics and scoring at scale are outside its workflow.</t>
        </is>
      </c>
      <c r="G8" s="51" t="inlineStr">
        <is>
          <t>The strongest product in the category cannot sell to your customer. That is a real window.</t>
        </is>
      </c>
    </row>
    <row r="9" ht="57" customHeight="1" s="38">
      <c r="A9" s="51" t="inlineStr">
        <is>
          <t>Embibe (Jio)</t>
        </is>
      </c>
      <c r="B9" s="51" t="inlineStr">
        <is>
          <t>THE closest competitor. AI exam-prep platform on a 93,000+ concept knowledge graph, Bayesian knowledge tracing, CBSE/ICSE/State boards plus JEE/NEET. Has a separate parents app.</t>
        </is>
      </c>
      <c r="C9" s="51" t="inlineStr">
        <is>
          <t>Free tier; premium via Jio. Reliance-backed, $82M+ raised.</t>
        </is>
      </c>
      <c r="D9" s="51" t="inlineStr">
        <is>
          <t>India-first, lakhs of students across 497 cities. Samsung Smart TV distribution deal.</t>
        </is>
      </c>
      <c r="E9" s="51" t="inlineStr">
        <is>
          <t>Advanced Feedback Analysis explicitly reports knowledge-gaps AND behaviour-gaps, producing academic-quotient and behavioural-quotient vectors per student. This is conceptually your Delivery Gap.</t>
        </is>
      </c>
      <c r="F9" s="51" t="inlineStr">
        <is>
          <t>Everything happens inside their app as MCQ tests on their content. It cannot mark a handwritten paper, cannot match one school's paper blueprint, has no printed artefact, and is aimed at the student, not the parent-as-coach.</t>
        </is>
      </c>
      <c r="G9" s="51" t="inlineStr">
        <is>
          <t>Read carefully: your central idea is not unique, but your DELIVERY of it is. Differentiate on the paper-and-pen loop, not on the concept.</t>
        </is>
      </c>
    </row>
    <row r="10" ht="34.5" customHeight="1" s="38">
      <c r="A10" s="51" t="inlineStr">
        <is>
          <t>Snap-solve apps (Doubtnut, Photomath, Gauth, Question.AI)</t>
        </is>
      </c>
      <c r="B10" s="51" t="inlineStr">
        <is>
          <t>Photograph a question, receive the solution. Commodity category, now largely absorbed into general AI assistants.</t>
        </is>
      </c>
      <c r="C10" s="51" t="inlineStr">
        <is>
          <t>Free with ads, or low-cost subscription.</t>
        </is>
      </c>
      <c r="D10" s="51" t="inlineStr">
        <is>
          <t>Very high in India, including Tier 2/3.</t>
        </is>
      </c>
      <c r="E10" s="51" t="inlineStr">
        <is>
          <t>Trained Indian students and parents to photograph schoolwork — the exact behaviour M10 depends on.</t>
        </is>
      </c>
      <c r="F10" s="51" t="inlineStr">
        <is>
          <t>Answers questions; does not evaluate attempts. Actively works against exam discipline.</t>
        </is>
      </c>
      <c r="G10" s="51" t="inlineStr">
        <is>
          <t>De-risks M10 behaviourally. Also a reason to never position yourself as a solver.</t>
        </is>
      </c>
    </row>
    <row r="11" ht="34.5" customHeight="1" s="38">
      <c r="A11" s="51" t="inlineStr">
        <is>
          <t>Physics Wallah / Unacademy / Vedantu</t>
        </is>
      </c>
      <c r="B11" s="51" t="inlineStr">
        <is>
          <t>Live and recorded coaching at scale, mostly competitive exams plus some school boards.</t>
        </is>
      </c>
      <c r="C11" s="51" t="inlineStr">
        <is>
          <t>Rs 2,000-25,000 per course.</t>
        </is>
      </c>
      <c r="D11" s="51" t="inlineStr">
        <is>
          <t>Very large. PW founders entered the Hurun list in 2026 on the strength of mass-market exam prep.</t>
        </is>
      </c>
      <c r="E11" s="51" t="inlineStr">
        <is>
          <t>Test series with rank and percentile analysis.</t>
        </is>
      </c>
      <c r="F11" s="51" t="inlineStr">
        <is>
          <t>Content delivery businesses. Analysis is cohort-level percentile, not individual behaviour diagnosis. No handwritten evaluation.</t>
        </is>
      </c>
      <c r="G11" s="51" t="inlineStr">
        <is>
          <t>Not a competitor for a Class 7 school-exam diagnostic. Potential distribution partner much later.</t>
        </is>
      </c>
    </row>
    <row r="12" ht="45.75" customHeight="1" s="38">
      <c r="A12" s="51" t="inlineStr">
        <is>
          <t>BYJU'S / Toppr</t>
        </is>
      </c>
      <c r="B12" s="51" t="inlineStr">
        <is>
          <t>Was the category leader. Acquired Toppr in 2021.</t>
        </is>
      </c>
      <c r="C12" s="51" t="inlineStr">
        <is>
          <t>n/a</t>
        </is>
      </c>
      <c r="D12" s="51" t="inlineStr">
        <is>
          <t>Valuation effectively zero by Oct 2024; under insolvency proceedings in India, with Supreme Court and NCLT matters running through 2026.</t>
        </is>
      </c>
      <c r="E12" s="51" t="inlineStr">
        <is>
          <t>Historically claimed adaptive learning paths and a parent-connect app.</t>
        </is>
      </c>
      <c r="F12" s="51" t="inlineStr">
        <is>
          <t>Effectively out of the market.</t>
        </is>
      </c>
      <c r="G12" s="51" t="inlineStr">
        <is>
          <t>Their collapse removed the biggest incumbent and made parents sceptical of high-pressure edtech. Sell a diagnostic tool, never a course.</t>
        </is>
      </c>
    </row>
    <row r="13" ht="34.5" customHeight="1" s="38">
      <c r="A13" s="51" t="inlineStr">
        <is>
          <t>A human tutor in Hyderabad</t>
        </is>
      </c>
      <c r="B13" s="51" t="inlineStr">
        <is>
          <t>The real incumbent. Marks her paper, knows the school, talks to the parent.</t>
        </is>
      </c>
      <c r="C13" s="51" t="inlineStr">
        <is>
          <t>Rs 1,500-6,000 per subject per month.</t>
        </is>
      </c>
      <c r="D13" s="51" t="inlineStr">
        <is>
          <t>Universal.</t>
        </is>
      </c>
      <c r="E13" s="51" t="inlineStr">
        <is>
          <t>Actually reads handwriting, actually knows the school's paper pattern, and is trusted.</t>
        </is>
      </c>
      <c r="F13" s="51" t="inlineStr">
        <is>
          <t>Inconsistent, unrecorded, no cumulative concept history, no cross-paper pattern detection, and cannot be reviewed at 11pm.</t>
        </is>
      </c>
      <c r="G13" s="51" t="inlineStr">
        <is>
          <t>THIS is who you price and position against — not the apps.</t>
        </is>
      </c>
    </row>
    <row r="14" ht="19.5" customHeight="1" s="38">
      <c r="A14" s="40" t="inlineStr">
        <is>
          <t>B.  What this changes in the plan   (the capability matrix is on tab 15)</t>
        </is>
      </c>
    </row>
    <row r="15" ht="30" customHeight="1" s="38">
      <c r="A15" s="19" t="inlineStr">
        <is>
          <t>#</t>
        </is>
      </c>
      <c r="B15" s="19" t="inlineStr">
        <is>
          <t>Finding</t>
        </is>
      </c>
      <c r="C15" s="19" t="inlineStr">
        <is>
          <t>Evidence</t>
        </is>
      </c>
      <c r="D15" s="19" t="inlineStr">
        <is>
          <t>Action</t>
        </is>
      </c>
      <c r="E15" s="19" t="inlineStr">
        <is>
          <t>Affects</t>
        </is>
      </c>
    </row>
    <row r="16" ht="79.5" customHeight="1" s="38">
      <c r="A16" s="51" t="inlineStr">
        <is>
          <t>1</t>
        </is>
      </c>
      <c r="B16" s="51" t="inlineStr">
        <is>
          <t>Your core diagnostic idea already exists — at Embibe</t>
        </is>
      </c>
      <c r="C16" s="51" t="inlineStr">
        <is>
          <t>Embibe's Advanced Feedback Analysis reports knowledge-gaps and behaviour-gaps and builds behavioural-quotient vectors per student. Do not pitch 'we measure the gap between knowing and scoring' as novel; a funder or a school will find Embibe in one search.</t>
        </is>
      </c>
      <c r="D16" s="51" t="inlineStr">
        <is>
          <t>Reposition around the paper-and-pen loop, which Embibe cannot do: her real handwriting, her real school's paper, her real marking scheme.</t>
        </is>
      </c>
      <c r="E16" s="51" t="inlineStr">
        <is>
          <t>M11 unchanged; positioning changes</t>
        </is>
      </c>
    </row>
    <row r="17" ht="68.25" customHeight="1" s="38">
      <c r="A17" s="51" t="inlineStr">
        <is>
          <t>2</t>
        </is>
      </c>
      <c r="B17" s="51" t="inlineStr">
        <is>
          <t>The moat is the school, not the AI</t>
        </is>
      </c>
      <c r="C17" s="51" t="inlineStr">
        <is>
          <t>Every rival owns its own content and asks the student to come to it. You go to the student's actual syllabus, actual textbook edition and actual school paper format. Rows 1-4 of the matrix are where no one scores Yes.</t>
        </is>
      </c>
      <c r="D17" s="51" t="inlineStr">
        <is>
          <t>Treat chapter scope records (F016) and the blueprint engine (F027) as the crown jewels. They are boring to build and very hard to copy at scale.</t>
        </is>
      </c>
      <c r="E17" s="51" t="inlineStr">
        <is>
          <t>M04, M06 — protect as P0</t>
        </is>
      </c>
    </row>
    <row r="18" ht="45.75" customHeight="1" s="38">
      <c r="A18" s="51" t="inlineStr">
        <is>
          <t>3</t>
        </is>
      </c>
      <c r="B18" s="51" t="inlineStr">
        <is>
          <t>Khanmigo's absence from India is a window, not a permanent gap</t>
        </is>
      </c>
      <c r="C18" s="51" t="inlineStr">
        <is>
          <t>Khanmigo requires US residency and a US billing address for learner accounts. That is a business decision, not a technical barrier, and it can reverse.</t>
        </is>
      </c>
      <c r="D18" s="51" t="inlineStr">
        <is>
          <t>Do not build anything whose only advantage is 'Khanmigo is not here'. Build the things that stay hard even if it arrives.</t>
        </is>
      </c>
      <c r="E18" s="51" t="inlineStr">
        <is>
          <t>Strategy, not a module</t>
        </is>
      </c>
    </row>
    <row r="19" ht="57" customHeight="1" s="38">
      <c r="A19" s="51" t="inlineStr">
        <is>
          <t>4</t>
        </is>
      </c>
      <c r="B19" s="51" t="inlineStr">
        <is>
          <t>Never become a solver</t>
        </is>
      </c>
      <c r="C19" s="51" t="inlineStr">
        <is>
          <t>Snap-solve apps are free, ubiquitous and commoditised. Independent reviews already criticise Flexi for closing the loop too fast with an answer.</t>
        </is>
      </c>
      <c r="D19" s="51" t="inlineStr">
        <is>
          <t>Enforce it in product: the answer key is a separate PDF and is never exposed to the student role (test T09). Withholding the answer is the feature.</t>
        </is>
      </c>
      <c r="E19" s="51" t="inlineStr">
        <is>
          <t>M07 F036, M22 T09</t>
        </is>
      </c>
    </row>
    <row r="20" ht="57" customHeight="1" s="38">
      <c r="A20" s="51" t="inlineStr">
        <is>
          <t>5</t>
        </is>
      </c>
      <c r="B20" s="51" t="inlineStr">
        <is>
          <t>Price against a tutor, not against an app</t>
        </is>
      </c>
      <c r="C20" s="51" t="inlineStr">
        <is>
          <t>Rivals anchor at zero (Flexi), Rs 350/mo (Khanmigo, unavailable), or Rs 1,200-2,500/mo (Brilliant). A Hyderabad subject tutor is Rs 1,500-6,000/mo and is the thing you actually displace.</t>
        </is>
      </c>
      <c r="D20" s="51" t="inlineStr">
        <is>
          <t>Target Rs 800-1,500/month per student for all subjects. Tab 13 shows Rs 7,300/month running cost, so break-even is roughly the 6th to 9th paying family.</t>
        </is>
      </c>
      <c r="E20" s="51" t="inlineStr">
        <is>
          <t>M21</t>
        </is>
      </c>
    </row>
    <row r="21" ht="45.75" customHeight="1" s="38">
      <c r="A21" s="51" t="inlineStr">
        <is>
          <t>6</t>
        </is>
      </c>
      <c r="B21" s="51" t="inlineStr">
        <is>
          <t>BYJU'S has poisoned the well — use it</t>
        </is>
      </c>
      <c r="C21" s="51" t="inlineStr">
        <is>
          <t>BYJU'S valuation fell to effectively zero by October 2024 and it is now in insolvency, after years of complaints about aggressive selling to families.</t>
        </is>
      </c>
      <c r="D21" s="51" t="inlineStr">
        <is>
          <t>Sell a diagnostic instrument, not a course. No sales calls, no lock-in, monthly billing, visible cancel. Trust is a feature you can win by default.</t>
        </is>
      </c>
      <c r="E21" s="51" t="inlineStr">
        <is>
          <t>M21, positioning</t>
        </is>
      </c>
    </row>
    <row r="22" ht="45.75" customHeight="1" s="38">
      <c r="A22" s="51" t="inlineStr">
        <is>
          <t>7</t>
        </is>
      </c>
      <c r="B22" s="51" t="inlineStr">
        <is>
          <t>Privacy certification is table stakes, not a differentiator</t>
        </is>
      </c>
      <c r="C22" s="51" t="inlineStr">
        <is>
          <t>Brilliant carries a kidSAFE seal; Khanmigo is COPPA/FERPA compliant. You currently have nothing.</t>
        </is>
      </c>
      <c r="D22" s="51" t="inlineStr">
        <is>
          <t>Bring M20 forward from Phase 4 into Phase 2 if you intend to onboard any family outside your own. It is cheaper to build in than to retrofit.</t>
        </is>
      </c>
      <c r="E22" s="51" t="inlineStr">
        <is>
          <t>M20 — consider re-phasing</t>
        </is>
      </c>
    </row>
    <row r="24" ht="19.5" customHeight="1" s="38">
      <c r="A24" s="40" t="inlineStr">
        <is>
          <t>C.  One-line positioning to test with three real parents</t>
        </is>
      </c>
    </row>
    <row r="25" ht="30" customHeight="1" s="38">
      <c r="A25" s="49" t="inlineStr">
        <is>
          <t>"Every other app teaches your child a concept. This one marks the paper she actually wrote, in her school's format, and tells you which marks she lost because she did not know it — and which she lost because she stopped writing too early."</t>
        </is>
      </c>
    </row>
    <row r="26" ht="15" customHeight="1" s="38"/>
    <row r="28" ht="15" customHeight="1" s="38">
      <c r="A28" s="48" t="inlineStr">
        <is>
          <t>Sources: ck12.org and info.ck12.org (Flexi); brilliant.org/math and published reviews (pricing); khanmigo.ai/learners (pricing and US-residency requirement); embibe.com and Embibe's AI engineering write-ups (knowledge graph, behaviour-gap analysis); Wikipedia and Tracxn (BYJU'S insolvency status); Hurun 2026 coverage (Physics Wallah scale). All accessed 05 Sep 2026.</t>
        </is>
      </c>
    </row>
  </sheetData>
  <mergeCells count="7">
    <mergeCell ref="A14:G14"/>
    <mergeCell ref="A2:I2"/>
    <mergeCell ref="A28:I28"/>
    <mergeCell ref="A25:G26"/>
    <mergeCell ref="A4:G4"/>
    <mergeCell ref="A1:I1"/>
    <mergeCell ref="A24:G24"/>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K24"/>
  <sheetViews>
    <sheetView showGridLines="0"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ColWidth="8.6328125" defaultRowHeight="14.5"/>
  <cols>
    <col width="5" customWidth="1" style="38" min="1" max="1"/>
    <col width="52" customWidth="1" style="38" min="2" max="2"/>
    <col width="11" customWidth="1" style="38" min="3" max="6"/>
    <col width="12" customWidth="1" style="38" min="7" max="8"/>
    <col width="14" customWidth="1" style="38" min="9" max="9"/>
    <col width="22" customWidth="1" style="38" min="10" max="10"/>
    <col width="10" customWidth="1" style="38" min="11" max="11"/>
  </cols>
  <sheetData>
    <row r="1" ht="24" customHeight="1" s="38">
      <c r="A1" s="42" t="inlineStr">
        <is>
          <t>15  Capability Matrix  —  Yes / Partial / No.  Rows where no rival scores Yes are your product.</t>
        </is>
      </c>
    </row>
    <row r="2" ht="15" customHeight="1" s="38">
      <c r="A2" s="48" t="inlineStr">
        <is>
          <t>Ratings are judgements from each vendor's own published material and independent reviews, September 2026. Re-check before any external use.</t>
        </is>
      </c>
    </row>
    <row r="4" ht="33.75" customHeight="1" s="38">
      <c r="A4" s="19" t="inlineStr">
        <is>
          <t>#</t>
        </is>
      </c>
      <c r="B4" s="19" t="inlineStr">
        <is>
          <t>Capability</t>
        </is>
      </c>
      <c r="C4" s="19" t="inlineStr">
        <is>
          <t>Flexi</t>
        </is>
      </c>
      <c r="D4" s="19" t="inlineStr">
        <is>
          <t>Brilliant</t>
        </is>
      </c>
      <c r="E4" s="19" t="inlineStr">
        <is>
          <t>Khanmigo</t>
        </is>
      </c>
      <c r="F4" s="19" t="inlineStr">
        <is>
          <t>Embibe</t>
        </is>
      </c>
      <c r="G4" s="19" t="inlineStr">
        <is>
          <t>Snap-solve</t>
        </is>
      </c>
      <c r="H4" s="19" t="inlineStr">
        <is>
          <t>Human tutor</t>
        </is>
      </c>
      <c r="I4" s="19" t="inlineStr">
        <is>
          <t>ExamPrep AI</t>
        </is>
      </c>
      <c r="J4" s="19" t="inlineStr">
        <is>
          <t>White space?</t>
        </is>
      </c>
      <c r="K4" s="19" t="inlineStr">
        <is>
          <t>Module</t>
        </is>
      </c>
    </row>
    <row r="5" ht="23.25" customHeight="1" s="38">
      <c r="A5" s="4" t="n">
        <v>1</v>
      </c>
      <c r="B5" s="51" t="inlineStr">
        <is>
          <t>Aligned to one school's actual chapter scope and textbook edition</t>
        </is>
      </c>
      <c r="C5" s="4" t="inlineStr">
        <is>
          <t>No</t>
        </is>
      </c>
      <c r="D5" s="4" t="inlineStr">
        <is>
          <t>No</t>
        </is>
      </c>
      <c r="E5" s="4" t="inlineStr">
        <is>
          <t>No</t>
        </is>
      </c>
      <c r="F5" s="4" t="inlineStr">
        <is>
          <t>Partial</t>
        </is>
      </c>
      <c r="G5" s="4" t="inlineStr">
        <is>
          <t>No</t>
        </is>
      </c>
      <c r="H5" s="4" t="inlineStr">
        <is>
          <t>Yes</t>
        </is>
      </c>
      <c r="I5" s="27" t="inlineStr">
        <is>
          <t>Yes</t>
        </is>
      </c>
      <c r="J5" s="28" t="inlineStr">
        <is>
          <t>STRONG</t>
        </is>
      </c>
      <c r="K5" s="51" t="inlineStr">
        <is>
          <t>M04</t>
        </is>
      </c>
    </row>
    <row r="6" ht="23.25" customHeight="1" s="38">
      <c r="A6" s="4" t="n">
        <v>2</v>
      </c>
      <c r="B6" s="51" t="inlineStr">
        <is>
          <t>Generates a full paper matching the school's real blueprint and section structure</t>
        </is>
      </c>
      <c r="C6" s="4" t="inlineStr">
        <is>
          <t>No</t>
        </is>
      </c>
      <c r="D6" s="4" t="inlineStr">
        <is>
          <t>No</t>
        </is>
      </c>
      <c r="E6" s="4" t="inlineStr">
        <is>
          <t>No</t>
        </is>
      </c>
      <c r="F6" s="4" t="inlineStr">
        <is>
          <t>Partial</t>
        </is>
      </c>
      <c r="G6" s="4" t="inlineStr">
        <is>
          <t>No</t>
        </is>
      </c>
      <c r="H6" s="4" t="inlineStr">
        <is>
          <t>Partial</t>
        </is>
      </c>
      <c r="I6" s="27" t="inlineStr">
        <is>
          <t>Yes</t>
        </is>
      </c>
      <c r="J6" s="28" t="inlineStr">
        <is>
          <t>STRONG</t>
        </is>
      </c>
      <c r="K6" s="51" t="inlineStr">
        <is>
          <t>M06</t>
        </is>
      </c>
    </row>
    <row r="7" ht="23.25" customHeight="1" s="38">
      <c r="A7" s="4" t="n">
        <v>3</v>
      </c>
      <c r="B7" s="51" t="inlineStr">
        <is>
          <t>Print-ready A4 paper with rough-work column for a handwritten attempt</t>
        </is>
      </c>
      <c r="C7" s="4" t="inlineStr">
        <is>
          <t>No</t>
        </is>
      </c>
      <c r="D7" s="4" t="inlineStr">
        <is>
          <t>No</t>
        </is>
      </c>
      <c r="E7" s="4" t="inlineStr">
        <is>
          <t>No</t>
        </is>
      </c>
      <c r="F7" s="4" t="inlineStr">
        <is>
          <t>No</t>
        </is>
      </c>
      <c r="G7" s="4" t="inlineStr">
        <is>
          <t>No</t>
        </is>
      </c>
      <c r="H7" s="4" t="inlineStr">
        <is>
          <t>Yes</t>
        </is>
      </c>
      <c r="I7" s="27" t="inlineStr">
        <is>
          <t>Yes</t>
        </is>
      </c>
      <c r="J7" s="28" t="inlineStr">
        <is>
          <t>STRONG</t>
        </is>
      </c>
      <c r="K7" s="51" t="inlineStr">
        <is>
          <t>M07</t>
        </is>
      </c>
    </row>
    <row r="8" ht="23.25" customHeight="1" s="38">
      <c r="A8" s="4" t="n">
        <v>4</v>
      </c>
      <c r="B8" s="51" t="inlineStr">
        <is>
          <t>Marks a HANDWRITTEN answer against a stored marking scheme with step marks</t>
        </is>
      </c>
      <c r="C8" s="4" t="inlineStr">
        <is>
          <t>No</t>
        </is>
      </c>
      <c r="D8" s="4" t="inlineStr">
        <is>
          <t>No</t>
        </is>
      </c>
      <c r="E8" s="4" t="inlineStr">
        <is>
          <t>No</t>
        </is>
      </c>
      <c r="F8" s="4" t="inlineStr">
        <is>
          <t>No</t>
        </is>
      </c>
      <c r="G8" s="4" t="inlineStr">
        <is>
          <t>No</t>
        </is>
      </c>
      <c r="H8" s="4" t="inlineStr">
        <is>
          <t>Yes</t>
        </is>
      </c>
      <c r="I8" s="27" t="inlineStr">
        <is>
          <t>Yes</t>
        </is>
      </c>
      <c r="J8" s="28" t="inlineStr">
        <is>
          <t>STRONG</t>
        </is>
      </c>
      <c r="K8" s="51" t="inlineStr">
        <is>
          <t>M09, M10</t>
        </is>
      </c>
    </row>
    <row r="9" ht="23.25" customHeight="1" s="38">
      <c r="A9" s="4" t="n">
        <v>5</v>
      </c>
      <c r="B9" s="51" t="inlineStr">
        <is>
          <t>Separates a knowledge gap from a delivery/behaviour loss on the same question</t>
        </is>
      </c>
      <c r="C9" s="4" t="inlineStr">
        <is>
          <t>No</t>
        </is>
      </c>
      <c r="D9" s="4" t="inlineStr">
        <is>
          <t>No</t>
        </is>
      </c>
      <c r="E9" s="4" t="inlineStr">
        <is>
          <t>No</t>
        </is>
      </c>
      <c r="F9" s="4" t="inlineStr">
        <is>
          <t>Yes</t>
        </is>
      </c>
      <c r="G9" s="4" t="inlineStr">
        <is>
          <t>No</t>
        </is>
      </c>
      <c r="H9" s="4" t="inlineStr">
        <is>
          <t>Partial</t>
        </is>
      </c>
      <c r="I9" s="27" t="inlineStr">
        <is>
          <t>Yes</t>
        </is>
      </c>
      <c r="J9" s="51" t="inlineStr">
        <is>
          <t>Weak — Embibe does this</t>
        </is>
      </c>
      <c r="K9" s="51" t="inlineStr">
        <is>
          <t>M11</t>
        </is>
      </c>
    </row>
    <row r="10" ht="23.25" customHeight="1" s="38">
      <c r="A10" s="4" t="n">
        <v>6</v>
      </c>
      <c r="B10" s="51" t="inlineStr">
        <is>
          <t>Named behaviour patterns tracked across papers (One-Idea Stop, Blank Retreat...)</t>
        </is>
      </c>
      <c r="C10" s="4" t="inlineStr">
        <is>
          <t>No</t>
        </is>
      </c>
      <c r="D10" s="4" t="inlineStr">
        <is>
          <t>No</t>
        </is>
      </c>
      <c r="E10" s="4" t="inlineStr">
        <is>
          <t>No</t>
        </is>
      </c>
      <c r="F10" s="4" t="inlineStr">
        <is>
          <t>Partial</t>
        </is>
      </c>
      <c r="G10" s="4" t="inlineStr">
        <is>
          <t>No</t>
        </is>
      </c>
      <c r="H10" s="4" t="inlineStr">
        <is>
          <t>Partial</t>
        </is>
      </c>
      <c r="I10" s="27" t="inlineStr">
        <is>
          <t>Yes</t>
        </is>
      </c>
      <c r="J10" s="51" t="inlineStr">
        <is>
          <t>MODERATE</t>
        </is>
      </c>
      <c r="K10" s="51" t="inlineStr">
        <is>
          <t>M11</t>
        </is>
      </c>
    </row>
    <row r="11" ht="23.25" customHeight="1" s="38">
      <c r="A11" s="4" t="n">
        <v>7</v>
      </c>
      <c r="B11" s="51" t="inlineStr">
        <is>
          <t>Presentation-habit tracking (units, rough work, overwriting, blanks)</t>
        </is>
      </c>
      <c r="C11" s="4" t="inlineStr">
        <is>
          <t>No</t>
        </is>
      </c>
      <c r="D11" s="4" t="inlineStr">
        <is>
          <t>No</t>
        </is>
      </c>
      <c r="E11" s="4" t="inlineStr">
        <is>
          <t>No</t>
        </is>
      </c>
      <c r="F11" s="4" t="inlineStr">
        <is>
          <t>No</t>
        </is>
      </c>
      <c r="G11" s="4" t="inlineStr">
        <is>
          <t>No</t>
        </is>
      </c>
      <c r="H11" s="4" t="inlineStr">
        <is>
          <t>Partial</t>
        </is>
      </c>
      <c r="I11" s="27" t="inlineStr">
        <is>
          <t>Yes</t>
        </is>
      </c>
      <c r="J11" s="28" t="inlineStr">
        <is>
          <t>STRONG</t>
        </is>
      </c>
      <c r="K11" s="51" t="inlineStr">
        <is>
          <t>M11</t>
        </is>
      </c>
    </row>
    <row r="12" ht="23.25" customHeight="1" s="38">
      <c r="A12" s="4" t="n">
        <v>8</v>
      </c>
      <c r="B12" s="51" t="inlineStr">
        <is>
          <t>Concept-level mastery tracking with trend over repeated attempts</t>
        </is>
      </c>
      <c r="C12" s="4" t="inlineStr">
        <is>
          <t>Yes</t>
        </is>
      </c>
      <c r="D12" s="4" t="inlineStr">
        <is>
          <t>Yes</t>
        </is>
      </c>
      <c r="E12" s="4" t="inlineStr">
        <is>
          <t>Yes</t>
        </is>
      </c>
      <c r="F12" s="4" t="inlineStr">
        <is>
          <t>Yes</t>
        </is>
      </c>
      <c r="G12" s="4" t="inlineStr">
        <is>
          <t>No</t>
        </is>
      </c>
      <c r="H12" s="4" t="inlineStr">
        <is>
          <t>No</t>
        </is>
      </c>
      <c r="I12" s="27" t="inlineStr">
        <is>
          <t>Yes</t>
        </is>
      </c>
      <c r="J12" s="51" t="inlineStr">
        <is>
          <t>None</t>
        </is>
      </c>
      <c r="K12" s="51" t="inlineStr">
        <is>
          <t>M12</t>
        </is>
      </c>
    </row>
    <row r="13" ht="23.25" customHeight="1" s="38">
      <c r="A13" s="4" t="n">
        <v>9</v>
      </c>
      <c r="B13" s="51" t="inlineStr">
        <is>
          <t>Weak concepts automatically re-weighted into the next paper (40/40/20)</t>
        </is>
      </c>
      <c r="C13" s="4" t="inlineStr">
        <is>
          <t>Partial</t>
        </is>
      </c>
      <c r="D13" s="4" t="inlineStr">
        <is>
          <t>Yes</t>
        </is>
      </c>
      <c r="E13" s="4" t="inlineStr">
        <is>
          <t>Partial</t>
        </is>
      </c>
      <c r="F13" s="4" t="inlineStr">
        <is>
          <t>Yes</t>
        </is>
      </c>
      <c r="G13" s="4" t="inlineStr">
        <is>
          <t>No</t>
        </is>
      </c>
      <c r="H13" s="4" t="inlineStr">
        <is>
          <t>Partial</t>
        </is>
      </c>
      <c r="I13" s="27" t="inlineStr">
        <is>
          <t>Yes</t>
        </is>
      </c>
      <c r="J13" s="51" t="inlineStr">
        <is>
          <t>None</t>
        </is>
      </c>
      <c r="K13" s="51" t="inlineStr">
        <is>
          <t>M06, M12</t>
        </is>
      </c>
    </row>
    <row r="14" ht="15" customHeight="1" s="38">
      <c r="A14" s="4" t="n">
        <v>10</v>
      </c>
      <c r="B14" s="51" t="inlineStr">
        <is>
          <t>Auto-triggered remediation drill when a concept fails twice</t>
        </is>
      </c>
      <c r="C14" s="4" t="inlineStr">
        <is>
          <t>Partial</t>
        </is>
      </c>
      <c r="D14" s="4" t="inlineStr">
        <is>
          <t>Partial</t>
        </is>
      </c>
      <c r="E14" s="4" t="inlineStr">
        <is>
          <t>Partial</t>
        </is>
      </c>
      <c r="F14" s="4" t="inlineStr">
        <is>
          <t>Yes</t>
        </is>
      </c>
      <c r="G14" s="4" t="inlineStr">
        <is>
          <t>No</t>
        </is>
      </c>
      <c r="H14" s="4" t="inlineStr">
        <is>
          <t>Partial</t>
        </is>
      </c>
      <c r="I14" s="27" t="inlineStr">
        <is>
          <t>Yes</t>
        </is>
      </c>
      <c r="J14" s="51" t="inlineStr">
        <is>
          <t>None</t>
        </is>
      </c>
      <c r="K14" s="51" t="inlineStr">
        <is>
          <t>M13</t>
        </is>
      </c>
    </row>
    <row r="15" ht="15" customHeight="1" s="38">
      <c r="A15" s="4" t="n">
        <v>11</v>
      </c>
      <c r="B15" s="51" t="inlineStr">
        <is>
          <t>Parent-facing diagnosis with ONE concrete action per session</t>
        </is>
      </c>
      <c r="C15" s="4" t="inlineStr">
        <is>
          <t>No</t>
        </is>
      </c>
      <c r="D15" s="4" t="inlineStr">
        <is>
          <t>No</t>
        </is>
      </c>
      <c r="E15" s="4" t="inlineStr">
        <is>
          <t>Partial</t>
        </is>
      </c>
      <c r="F15" s="4" t="inlineStr">
        <is>
          <t>Partial</t>
        </is>
      </c>
      <c r="G15" s="4" t="inlineStr">
        <is>
          <t>No</t>
        </is>
      </c>
      <c r="H15" s="4" t="inlineStr">
        <is>
          <t>Yes</t>
        </is>
      </c>
      <c r="I15" s="27" t="inlineStr">
        <is>
          <t>Yes</t>
        </is>
      </c>
      <c r="J15" s="28" t="inlineStr">
        <is>
          <t>STRONG</t>
        </is>
      </c>
      <c r="K15" s="51" t="inlineStr">
        <is>
          <t>M14</t>
        </is>
      </c>
    </row>
    <row r="16" ht="15" customHeight="1" s="38">
      <c r="A16" s="4" t="n">
        <v>12</v>
      </c>
      <c r="B16" s="51" t="inlineStr">
        <is>
          <t>Weekly summary and 7-day study plan for the parent</t>
        </is>
      </c>
      <c r="C16" s="4" t="inlineStr">
        <is>
          <t>Partial</t>
        </is>
      </c>
      <c r="D16" s="4" t="inlineStr">
        <is>
          <t>No</t>
        </is>
      </c>
      <c r="E16" s="4" t="inlineStr">
        <is>
          <t>No</t>
        </is>
      </c>
      <c r="F16" s="4" t="inlineStr">
        <is>
          <t>Partial</t>
        </is>
      </c>
      <c r="G16" s="4" t="inlineStr">
        <is>
          <t>No</t>
        </is>
      </c>
      <c r="H16" s="4" t="inlineStr">
        <is>
          <t>Partial</t>
        </is>
      </c>
      <c r="I16" s="27" t="inlineStr">
        <is>
          <t>Yes</t>
        </is>
      </c>
      <c r="J16" s="51" t="inlineStr">
        <is>
          <t>MODERATE</t>
        </is>
      </c>
      <c r="K16" s="51" t="inlineStr">
        <is>
          <t>M14, M15</t>
        </is>
      </c>
    </row>
    <row r="17" ht="15" customHeight="1" s="38">
      <c r="A17" s="4" t="n">
        <v>13</v>
      </c>
      <c r="B17" s="51" t="inlineStr">
        <is>
          <t>Telugu or other Indian-language school subjects</t>
        </is>
      </c>
      <c r="C17" s="4" t="inlineStr">
        <is>
          <t>No</t>
        </is>
      </c>
      <c r="D17" s="4" t="inlineStr">
        <is>
          <t>No</t>
        </is>
      </c>
      <c r="E17" s="4" t="inlineStr">
        <is>
          <t>No</t>
        </is>
      </c>
      <c r="F17" s="4" t="inlineStr">
        <is>
          <t>Partial</t>
        </is>
      </c>
      <c r="G17" s="4" t="inlineStr">
        <is>
          <t>Partial</t>
        </is>
      </c>
      <c r="H17" s="4" t="inlineStr">
        <is>
          <t>Yes</t>
        </is>
      </c>
      <c r="I17" s="27" t="inlineStr">
        <is>
          <t>Yes</t>
        </is>
      </c>
      <c r="J17" s="28" t="inlineStr">
        <is>
          <t>STRONG</t>
        </is>
      </c>
      <c r="K17" s="51" t="inlineStr">
        <is>
          <t>M18</t>
        </is>
      </c>
    </row>
    <row r="18" ht="23.25" customHeight="1" s="38">
      <c r="A18" s="4" t="n">
        <v>14</v>
      </c>
      <c r="B18" s="51" t="inlineStr">
        <is>
          <t>Non-STEM school subjects (Social Studies, language composition)</t>
        </is>
      </c>
      <c r="C18" s="4" t="inlineStr">
        <is>
          <t>Partial</t>
        </is>
      </c>
      <c r="D18" s="4" t="inlineStr">
        <is>
          <t>No</t>
        </is>
      </c>
      <c r="E18" s="4" t="inlineStr">
        <is>
          <t>Partial</t>
        </is>
      </c>
      <c r="F18" s="4" t="inlineStr">
        <is>
          <t>Yes</t>
        </is>
      </c>
      <c r="G18" s="4" t="inlineStr">
        <is>
          <t>Partial</t>
        </is>
      </c>
      <c r="H18" s="4" t="inlineStr">
        <is>
          <t>Yes</t>
        </is>
      </c>
      <c r="I18" s="27" t="inlineStr">
        <is>
          <t>Yes</t>
        </is>
      </c>
      <c r="J18" s="51" t="inlineStr">
        <is>
          <t>MODERATE</t>
        </is>
      </c>
      <c r="K18" s="51" t="inlineStr">
        <is>
          <t>M04, M05</t>
        </is>
      </c>
    </row>
    <row r="19" ht="15" customHeight="1" s="38">
      <c r="A19" s="4" t="n">
        <v>15</v>
      </c>
      <c r="B19" s="51" t="inlineStr">
        <is>
          <t>Map work, diagram labelling and other visual answer formats</t>
        </is>
      </c>
      <c r="C19" s="4" t="inlineStr">
        <is>
          <t>No</t>
        </is>
      </c>
      <c r="D19" s="4" t="inlineStr">
        <is>
          <t>No</t>
        </is>
      </c>
      <c r="E19" s="4" t="inlineStr">
        <is>
          <t>No</t>
        </is>
      </c>
      <c r="F19" s="4" t="inlineStr">
        <is>
          <t>Partial</t>
        </is>
      </c>
      <c r="G19" s="4" t="inlineStr">
        <is>
          <t>No</t>
        </is>
      </c>
      <c r="H19" s="4" t="inlineStr">
        <is>
          <t>Yes</t>
        </is>
      </c>
      <c r="I19" s="27" t="inlineStr">
        <is>
          <t>Yes</t>
        </is>
      </c>
      <c r="J19" s="28" t="inlineStr">
        <is>
          <t>STRONG</t>
        </is>
      </c>
      <c r="K19" s="51" t="inlineStr">
        <is>
          <t>M05, M07</t>
        </is>
      </c>
    </row>
    <row r="20" ht="15" customHeight="1" s="38">
      <c r="A20" s="4" t="n">
        <v>16</v>
      </c>
      <c r="B20" s="51" t="inlineStr">
        <is>
          <t>Available to an Indian consumer today</t>
        </is>
      </c>
      <c r="C20" s="4" t="inlineStr">
        <is>
          <t>Yes</t>
        </is>
      </c>
      <c r="D20" s="4" t="inlineStr">
        <is>
          <t>Yes</t>
        </is>
      </c>
      <c r="E20" s="4" t="inlineStr">
        <is>
          <t>No</t>
        </is>
      </c>
      <c r="F20" s="4" t="inlineStr">
        <is>
          <t>Yes</t>
        </is>
      </c>
      <c r="G20" s="4" t="inlineStr">
        <is>
          <t>Yes</t>
        </is>
      </c>
      <c r="H20" s="4" t="inlineStr">
        <is>
          <t>Yes</t>
        </is>
      </c>
      <c r="I20" s="27" t="inlineStr">
        <is>
          <t>Yes</t>
        </is>
      </c>
      <c r="J20" s="51" t="inlineStr">
        <is>
          <t>n/a</t>
        </is>
      </c>
      <c r="K20" s="51" t="inlineStr">
        <is>
          <t>-</t>
        </is>
      </c>
    </row>
    <row r="21" ht="15" customHeight="1" s="38">
      <c r="A21" s="4" t="n">
        <v>17</v>
      </c>
      <c r="B21" s="51" t="inlineStr">
        <is>
          <t>Free tier that is genuinely usable</t>
        </is>
      </c>
      <c r="C21" s="4" t="inlineStr">
        <is>
          <t>Yes</t>
        </is>
      </c>
      <c r="D21" s="4" t="inlineStr">
        <is>
          <t>No</t>
        </is>
      </c>
      <c r="E21" s="4" t="inlineStr">
        <is>
          <t>No</t>
        </is>
      </c>
      <c r="F21" s="4" t="inlineStr">
        <is>
          <t>Yes</t>
        </is>
      </c>
      <c r="G21" s="4" t="inlineStr">
        <is>
          <t>Yes</t>
        </is>
      </c>
      <c r="H21" s="4" t="inlineStr">
        <is>
          <t>No</t>
        </is>
      </c>
      <c r="I21" s="27" t="inlineStr">
        <is>
          <t>TBD</t>
        </is>
      </c>
      <c r="J21" s="51" t="inlineStr">
        <is>
          <t>Pressure point</t>
        </is>
      </c>
      <c r="K21" s="51" t="inlineStr">
        <is>
          <t>M21</t>
        </is>
      </c>
    </row>
    <row r="22" ht="15" customHeight="1" s="38">
      <c r="A22" s="4" t="n">
        <v>18</v>
      </c>
      <c r="B22" s="51" t="inlineStr">
        <is>
          <t>Child-privacy certification or seal as a trust signal</t>
        </is>
      </c>
      <c r="C22" s="4" t="inlineStr">
        <is>
          <t>Partial</t>
        </is>
      </c>
      <c r="D22" s="4" t="inlineStr">
        <is>
          <t>Yes</t>
        </is>
      </c>
      <c r="E22" s="4" t="inlineStr">
        <is>
          <t>Yes</t>
        </is>
      </c>
      <c r="F22" s="4" t="inlineStr">
        <is>
          <t>Partial</t>
        </is>
      </c>
      <c r="G22" s="4" t="inlineStr">
        <is>
          <t>No</t>
        </is>
      </c>
      <c r="H22" s="4" t="inlineStr">
        <is>
          <t>n/a</t>
        </is>
      </c>
      <c r="I22" s="27" t="inlineStr">
        <is>
          <t>Planned</t>
        </is>
      </c>
      <c r="J22" s="51" t="inlineStr">
        <is>
          <t>Catch-up needed</t>
        </is>
      </c>
      <c r="K22" s="51" t="inlineStr">
        <is>
          <t>M20</t>
        </is>
      </c>
    </row>
    <row r="24" ht="15" customHeight="1" s="38">
      <c r="B24" s="9" t="inlineStr">
        <is>
          <t>Count of capabilities where no rival scores Yes (rows marked STRONG):</t>
        </is>
      </c>
      <c r="J24" s="29">
        <f>COUNTIF(J5:J22,"STRONG")</f>
        <v/>
      </c>
    </row>
  </sheetData>
  <mergeCells count="2">
    <mergeCell ref="A2:K2"/>
    <mergeCell ref="A1:K1"/>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63"/>
  <sheetViews>
    <sheetView showGridLines="0" zoomScaleNormal="100" workbookViewId="0">
      <selection activeCell="A1" sqref="A1"/>
    </sheetView>
  </sheetViews>
  <sheetFormatPr baseColWidth="8" defaultColWidth="8.6328125" defaultRowHeight="14.5"/>
  <cols>
    <col width="40" customWidth="1" style="38" min="1" max="1"/>
    <col width="16" customWidth="1" style="38" min="2" max="2"/>
    <col width="26" customWidth="1" style="38" min="3" max="3"/>
    <col width="16" customWidth="1" style="38" min="4" max="4"/>
    <col width="18" customWidth="1" style="38" min="5" max="8"/>
  </cols>
  <sheetData>
    <row r="1" ht="24" customHeight="1" s="38">
      <c r="A1" s="42" t="inlineStr">
        <is>
          <t>16  Question Bank Build Plan  —  20 questions per concept now, with a costed path to deeper</t>
        </is>
      </c>
    </row>
    <row r="2" ht="15" customHeight="1" s="38">
      <c r="A2" s="48" t="inlineStr">
        <is>
          <t>Launch depth is 20 questions per concept. Every figure below is driven by the yellow input cells, so raising the target later is a single edit here and a single config change in the product (see block G). Concept counts are estimates for CBSE Class 7 — replace them with your real syllabus counts.</t>
        </is>
      </c>
    </row>
    <row r="4" ht="19.5" customHeight="1" s="38">
      <c r="A4" s="40" t="inlineStr">
        <is>
          <t>A.  Inputs  (edit the yellow cells)</t>
        </is>
      </c>
    </row>
    <row r="6" ht="15" customHeight="1" s="38">
      <c r="A6" s="9" t="inlineStr">
        <is>
          <t>Target questions per concept</t>
        </is>
      </c>
      <c r="B6" s="30" t="n">
        <v>20</v>
      </c>
      <c r="C6" s="46" t="inlineStr">
        <is>
          <t>Your stated target.</t>
        </is>
      </c>
    </row>
    <row r="7" ht="15" customHeight="1" s="38">
      <c r="A7" s="9" t="inlineStr">
        <is>
          <t>AI cost per generated question (INR)</t>
        </is>
      </c>
      <c r="B7" s="31" t="n">
        <v>2</v>
      </c>
      <c r="C7" s="46" t="inlineStr">
        <is>
          <t>Grounded generation with source text and few-shot examples, at mid-tier model pricing. Verify against tab 07.</t>
        </is>
      </c>
    </row>
    <row r="8" ht="15" customHeight="1" s="38">
      <c r="A8" s="9" t="inlineStr">
        <is>
          <t>Human review minutes per question</t>
        </is>
      </c>
      <c r="B8" s="32" t="n">
        <v>1.5</v>
      </c>
      <c r="C8" s="46" t="inlineStr">
        <is>
          <t>Read, check the answer, check the scope, approve or reject.</t>
        </is>
      </c>
    </row>
    <row r="9" ht="15" customHeight="1" s="38">
      <c r="A9" s="9" t="inlineStr">
        <is>
          <t>Sampled QA rate for Tier A questions</t>
        </is>
      </c>
      <c r="B9" s="31" t="n">
        <v>0.1</v>
      </c>
      <c r="C9" s="46" t="inlineStr">
        <is>
          <t>Fraction of auto-approved objective questions that a human spot-checks.</t>
        </is>
      </c>
    </row>
    <row r="10" ht="15" customHeight="1" s="38">
      <c r="A10" s="9" t="inlineStr">
        <is>
          <t>Share of bank eligible for Tier A auto-approve</t>
        </is>
      </c>
      <c r="B10" s="31" t="n">
        <v>0.65</v>
      </c>
      <c r="C10" s="46" t="inlineStr">
        <is>
          <t>Objective, 1-2 mark, deterministic answer. The rest need full review.</t>
        </is>
      </c>
    </row>
    <row r="11" ht="15" customHeight="1" s="38">
      <c r="A11" s="9" t="inlineStr">
        <is>
          <t>Productive review hours per day</t>
        </is>
      </c>
      <c r="B11" s="32" t="n">
        <v>5</v>
      </c>
      <c r="C11" s="46" t="inlineStr">
        <is>
          <t>One reviewer. Nobody reviews questions for eight hours.</t>
        </is>
      </c>
    </row>
    <row r="12" ht="15" customHeight="1" s="38">
      <c r="A12" s="9" t="inlineStr">
        <is>
          <t>Rejection rate on generated questions</t>
        </is>
      </c>
      <c r="B12" s="31" t="n">
        <v>0.2</v>
      </c>
      <c r="C12" s="46" t="inlineStr">
        <is>
          <t>Duplicates, out-of-scope, ambiguous, bad distractors. You pay to generate these too.</t>
        </is>
      </c>
    </row>
    <row r="14" ht="19.5" customHeight="1" s="38">
      <c r="A14" s="40" t="inlineStr">
        <is>
          <t>B.  Volume  —  CBSE Class 7, all four subjects, at the target depth</t>
        </is>
      </c>
    </row>
    <row r="15" ht="30" customHeight="1" s="38">
      <c r="A15" s="19" t="inlineStr">
        <is>
          <t>Subject</t>
        </is>
      </c>
      <c r="B15" s="19" t="inlineStr">
        <is>
          <t>Chapters</t>
        </is>
      </c>
      <c r="C15" s="19" t="inlineStr">
        <is>
          <t>Concepts (est.)</t>
        </is>
      </c>
      <c r="D15" s="19" t="inlineStr">
        <is>
          <t>Questions needed</t>
        </is>
      </c>
      <c r="E15" s="19" t="inlineStr">
        <is>
          <t>To generate (incl. rejects)</t>
        </is>
      </c>
      <c r="F15" s="19" t="inlineStr">
        <is>
          <t>Generation cost (INR)</t>
        </is>
      </c>
      <c r="G15" s="19" t="inlineStr">
        <is>
          <t>Tier A questions</t>
        </is>
      </c>
      <c r="H15" s="19" t="inlineStr">
        <is>
          <t>Tier B questions</t>
        </is>
      </c>
    </row>
    <row r="16" ht="15" customHeight="1" s="38">
      <c r="A16" s="20" t="inlineStr">
        <is>
          <t>Mathematics</t>
        </is>
      </c>
      <c r="B16" s="25" t="n">
        <v>15</v>
      </c>
      <c r="C16" s="25" t="n">
        <v>68</v>
      </c>
      <c r="D16" s="21">
        <f>C16*$B$6</f>
        <v/>
      </c>
      <c r="E16" s="21">
        <f>ROUND(D16/(1-$B$12),0)</f>
        <v/>
      </c>
      <c r="F16" s="21">
        <f>E16*$B$7</f>
        <v/>
      </c>
      <c r="G16" s="21">
        <f>ROUND(D16*$B$10,0)</f>
        <v/>
      </c>
      <c r="H16" s="21">
        <f>D16-G16</f>
        <v/>
      </c>
    </row>
    <row r="17" ht="15" customHeight="1" s="38">
      <c r="A17" s="20" t="inlineStr">
        <is>
          <t>Science</t>
        </is>
      </c>
      <c r="B17" s="25" t="n">
        <v>12</v>
      </c>
      <c r="C17" s="25" t="n">
        <v>54</v>
      </c>
      <c r="D17" s="21">
        <f>C17*$B$6</f>
        <v/>
      </c>
      <c r="E17" s="21">
        <f>ROUND(D17/(1-$B$12),0)</f>
        <v/>
      </c>
      <c r="F17" s="21">
        <f>E17*$B$7</f>
        <v/>
      </c>
      <c r="G17" s="21">
        <f>ROUND(D17*$B$10,0)</f>
        <v/>
      </c>
      <c r="H17" s="21">
        <f>D17-G17</f>
        <v/>
      </c>
    </row>
    <row r="18" ht="15" customHeight="1" s="38">
      <c r="A18" s="20" t="inlineStr">
        <is>
          <t>Social Studies</t>
        </is>
      </c>
      <c r="B18" s="25" t="n">
        <v>20</v>
      </c>
      <c r="C18" s="25" t="n">
        <v>80</v>
      </c>
      <c r="D18" s="21">
        <f>C18*$B$6</f>
        <v/>
      </c>
      <c r="E18" s="21">
        <f>ROUND(D18/(1-$B$12),0)</f>
        <v/>
      </c>
      <c r="F18" s="21">
        <f>E18*$B$7</f>
        <v/>
      </c>
      <c r="G18" s="21">
        <f>ROUND(D18*$B$10,0)</f>
        <v/>
      </c>
      <c r="H18" s="21">
        <f>D18-G18</f>
        <v/>
      </c>
    </row>
    <row r="19" ht="15" customHeight="1" s="38">
      <c r="A19" s="20" t="inlineStr">
        <is>
          <t>Telugu</t>
        </is>
      </c>
      <c r="B19" s="25" t="n">
        <v>16</v>
      </c>
      <c r="C19" s="25" t="n">
        <v>45</v>
      </c>
      <c r="D19" s="21">
        <f>C19*$B$6</f>
        <v/>
      </c>
      <c r="E19" s="21">
        <f>ROUND(D19/(1-$B$12),0)</f>
        <v/>
      </c>
      <c r="F19" s="21">
        <f>E19*$B$7</f>
        <v/>
      </c>
      <c r="G19" s="21">
        <f>ROUND(D19*$B$10,0)</f>
        <v/>
      </c>
      <c r="H19" s="21">
        <f>D19-G19</f>
        <v/>
      </c>
    </row>
    <row r="20" ht="15" customHeight="1" s="38">
      <c r="A20" s="22" t="inlineStr">
        <is>
          <t>TOTAL (one class)</t>
        </is>
      </c>
      <c r="B20" s="23">
        <f>SUM(B16:B19)</f>
        <v/>
      </c>
      <c r="C20" s="23">
        <f>SUM(C16:C19)</f>
        <v/>
      </c>
      <c r="D20" s="23">
        <f>SUM(D16:D19)</f>
        <v/>
      </c>
      <c r="E20" s="23">
        <f>SUM(E16:E19)</f>
        <v/>
      </c>
      <c r="F20" s="23">
        <f>SUM(F16:F19)</f>
        <v/>
      </c>
      <c r="G20" s="23">
        <f>SUM(G16:G19)</f>
        <v/>
      </c>
      <c r="H20" s="23">
        <f>SUM(H16:H19)</f>
        <v/>
      </c>
    </row>
    <row r="22" ht="19.5" customHeight="1" s="38">
      <c r="A22" s="40" t="inlineStr">
        <is>
          <t>C.  The real constraint is review time, not AI cost</t>
        </is>
      </c>
    </row>
    <row r="23" ht="30" customHeight="1" s="38">
      <c r="A23" s="19" t="inlineStr">
        <is>
          <t>Review model</t>
        </is>
      </c>
      <c r="B23" s="19" t="inlineStr">
        <is>
          <t>Questions fully read</t>
        </is>
      </c>
      <c r="C23" s="19" t="inlineStr">
        <is>
          <t>Review minutes</t>
        </is>
      </c>
      <c r="D23" s="19" t="inlineStr">
        <is>
          <t>Review hours</t>
        </is>
      </c>
      <c r="E23" s="19" t="inlineStr">
        <is>
          <t>Reviewer-days</t>
        </is>
      </c>
      <c r="F23" s="19" t="inlineStr">
        <is>
          <t>Verdict</t>
        </is>
      </c>
      <c r="G23" s="19" t="n"/>
      <c r="H23" s="19" t="n"/>
    </row>
    <row r="24" ht="15" customHeight="1" s="38">
      <c r="A24" s="20" t="inlineStr">
        <is>
          <t>Naive: every question read by a human</t>
        </is>
      </c>
      <c r="B24" s="21">
        <f>D20</f>
        <v/>
      </c>
      <c r="C24" s="21">
        <f>B24*$B$8</f>
        <v/>
      </c>
      <c r="D24" s="21">
        <f>C24/60</f>
        <v/>
      </c>
      <c r="E24" s="21">
        <f>ROUND(D24/$B$11,0)</f>
        <v/>
      </c>
      <c r="F24" s="54" t="inlineStr">
        <is>
          <t>Not viable. This is a year of full-time reading for one class.</t>
        </is>
      </c>
      <c r="G24" s="52" t="n"/>
      <c r="H24" s="53" t="n"/>
    </row>
    <row r="25" ht="23.25" customHeight="1" s="38">
      <c r="A25" s="20" t="inlineStr">
        <is>
          <t>Tiered: Tier A sampled, Tier B fully reviewed (F117)</t>
        </is>
      </c>
      <c r="B25" s="21">
        <f>ROUND(G20*$B$9+H20,0)</f>
        <v/>
      </c>
      <c r="C25" s="21">
        <f>B25*$B$8</f>
        <v/>
      </c>
      <c r="D25" s="21">
        <f>C25/60</f>
        <v/>
      </c>
      <c r="E25" s="21">
        <f>ROUND(D25/$B$11,0)</f>
        <v/>
      </c>
      <c r="F25" s="55" t="inlineStr">
        <is>
          <t>Better, still a content operation rather than a feature. Phase it — see block D.</t>
        </is>
      </c>
      <c r="G25" s="52" t="n"/>
      <c r="H25" s="53" t="n"/>
    </row>
    <row r="27" ht="19.5" customHeight="1" s="38">
      <c r="A27" s="40" t="inlineStr">
        <is>
          <t>D.  Phased depth targets  —  20 now, deeper when the loop has proved itself</t>
        </is>
      </c>
    </row>
    <row r="28" ht="30" customHeight="1" s="38">
      <c r="A28" s="19" t="inlineStr">
        <is>
          <t>Phase</t>
        </is>
      </c>
      <c r="B28" s="19" t="inlineStr">
        <is>
          <t>Questions per concept</t>
        </is>
      </c>
      <c r="C28" s="19" t="inlineStr">
        <is>
          <t>Subjects covered</t>
        </is>
      </c>
      <c r="D28" s="19" t="inlineStr">
        <is>
          <t>Concepts</t>
        </is>
      </c>
      <c r="E28" s="19" t="inlineStr">
        <is>
          <t>Questions</t>
        </is>
      </c>
      <c r="F28" s="19" t="inlineStr">
        <is>
          <t>Tiered reviewer-days</t>
        </is>
      </c>
      <c r="G28" s="19" t="inlineStr">
        <is>
          <t>Why this number</t>
        </is>
      </c>
      <c r="H28" s="19" t="n"/>
    </row>
    <row r="29" ht="34.5" customHeight="1" s="38">
      <c r="A29" s="20" t="inlineStr">
        <is>
          <t>Phase 1 (launch)</t>
        </is>
      </c>
      <c r="B29" s="25" t="n">
        <v>20</v>
      </c>
      <c r="C29" s="20" t="inlineStr">
        <is>
          <t>Maths + Science</t>
        </is>
      </c>
      <c r="D29" s="25" t="n">
        <v>122</v>
      </c>
      <c r="E29" s="21">
        <f>B29*D29</f>
        <v/>
      </c>
      <c r="F29" s="21">
        <f>ROUND((E29*$B$10*$B$9+E29*(1-$B$10))*$B$8/60/$B$11,0)</f>
        <v/>
      </c>
      <c r="G29" s="51" t="inlineStr">
        <is>
          <t>About 5-7 non-repeating papers per chapter at three difficulty tiers. Enough to run a full term and prove the diagnostic loop is worth feeding.</t>
        </is>
      </c>
      <c r="H29" s="53" t="n"/>
    </row>
    <row r="30" ht="34.5" customHeight="1" s="38">
      <c r="A30" s="20" t="inlineStr">
        <is>
          <t>Phase 2</t>
        </is>
      </c>
      <c r="B30" s="25" t="n">
        <v>20</v>
      </c>
      <c r="C30" s="20" t="inlineStr">
        <is>
          <t>All four subjects</t>
        </is>
      </c>
      <c r="D30" s="25" t="n">
        <v>247</v>
      </c>
      <c r="E30" s="21">
        <f>B30*D30</f>
        <v/>
      </c>
      <c r="F30" s="21">
        <f>ROUND((E30*$B$10*$B$9+E30*(1-$B$10))*$B$8/60/$B$11,0)</f>
        <v/>
      </c>
      <c r="G30" s="51" t="inlineStr">
        <is>
          <t>Same depth, extended to Social Studies and Telugu. Breadth before depth: Mahika sits four subjects, not two.</t>
        </is>
      </c>
      <c r="H30" s="53" t="n"/>
    </row>
    <row r="31" ht="34.5" customHeight="1" s="38">
      <c r="A31" s="20" t="inlineStr">
        <is>
          <t>Phase 3 (year 1 review)</t>
        </is>
      </c>
      <c r="B31" s="25" t="n">
        <v>40</v>
      </c>
      <c r="C31" s="20" t="inlineStr">
        <is>
          <t>All four subjects</t>
        </is>
      </c>
      <c r="D31" s="25" t="n">
        <v>247</v>
      </c>
      <c r="E31" s="21">
        <f>B31*D31</f>
        <v/>
      </c>
      <c r="F31" s="21">
        <f>ROUND((E31*$B$10*$B$9+E31*(1-$B$10))*$B$8/60/$B$11,0)</f>
        <v/>
      </c>
      <c r="G31" s="51" t="inlineStr">
        <is>
          <t>Doubles the bank once field data (F118) shows which questions actually discriminate. Retire the weak half of the first 20 as you add the next 20.</t>
        </is>
      </c>
      <c r="H31" s="53" t="n"/>
    </row>
    <row r="32" ht="45.75" customHeight="1" s="38">
      <c r="A32" s="20" t="inlineStr">
        <is>
          <t>Phase 4 (optional growth)</t>
        </is>
      </c>
      <c r="B32" s="25" t="n">
        <v>100</v>
      </c>
      <c r="C32" s="20" t="inlineStr">
        <is>
          <t>All four subjects</t>
        </is>
      </c>
      <c r="D32" s="25" t="n">
        <v>247</v>
      </c>
      <c r="E32" s="21">
        <f>B32*D32</f>
        <v/>
      </c>
      <c r="F32" s="21">
        <f>ROUND((E32*$B$10*$B$9+E32*(1-$B$10))*$B$8/60/$B$11,0)</f>
        <v/>
      </c>
      <c r="G32" s="51" t="inlineStr">
        <is>
          <t>Only if the product goes beyond one household. At 100 per concept most Bloom x difficulty cells hold 5+ items and blueprints stop hitting shortfalls.</t>
        </is>
      </c>
      <c r="H32" s="53" t="n"/>
    </row>
    <row r="34" ht="19.5" customHeight="1" s="38">
      <c r="A34" s="40" t="inlineStr">
        <is>
          <t>E.  Coverage grid at 20 per concept  —  concentrate, do not spread</t>
        </is>
      </c>
    </row>
    <row r="35" ht="30" customHeight="1" s="38">
      <c r="A35" s="19" t="inlineStr">
        <is>
          <t>Bloom level</t>
        </is>
      </c>
      <c r="B35" s="19" t="inlineStr">
        <is>
          <t>Easy</t>
        </is>
      </c>
      <c r="C35" s="19" t="inlineStr">
        <is>
          <t>Hard</t>
        </is>
      </c>
      <c r="D35" s="19" t="inlineStr">
        <is>
          <t>Hardest</t>
        </is>
      </c>
      <c r="E35" s="19" t="inlineStr">
        <is>
          <t>Row total</t>
        </is>
      </c>
      <c r="F35" s="19" t="inlineStr">
        <is>
          <t>Note</t>
        </is>
      </c>
      <c r="G35" s="19" t="n"/>
      <c r="H35" s="19" t="n"/>
    </row>
    <row r="36" ht="21.75" customHeight="1" s="38">
      <c r="A36" s="20" t="inlineStr">
        <is>
          <t>Remember</t>
        </is>
      </c>
      <c r="B36" s="8" t="n">
        <v>3</v>
      </c>
      <c r="C36" s="8" t="n">
        <v>1</v>
      </c>
      <c r="D36" s="8" t="n"/>
      <c r="E36" s="33">
        <f>SUM(B36:D36)</f>
        <v/>
      </c>
      <c r="F36" s="46" t="inlineStr">
        <is>
          <t>Recall has no 'hardest' tier. Leave it empty rather than forcing a question into it.</t>
        </is>
      </c>
    </row>
    <row r="37" ht="15" customHeight="1" s="38">
      <c r="A37" s="20" t="inlineStr">
        <is>
          <t>Understand</t>
        </is>
      </c>
      <c r="B37" s="8" t="n">
        <v>3</v>
      </c>
      <c r="C37" s="8" t="n">
        <v>2</v>
      </c>
      <c r="D37" s="8" t="n"/>
      <c r="E37" s="33">
        <f>SUM(B37:D37)</f>
        <v/>
      </c>
      <c r="F37" s="46" t="inlineStr">
        <is>
          <t>Section A and B workhorse.</t>
        </is>
      </c>
    </row>
    <row r="38" ht="15" customHeight="1" s="38">
      <c r="A38" s="20" t="inlineStr">
        <is>
          <t>Apply</t>
        </is>
      </c>
      <c r="B38" s="8" t="n">
        <v>2</v>
      </c>
      <c r="C38" s="8" t="n">
        <v>3</v>
      </c>
      <c r="D38" s="8" t="n">
        <v>1</v>
      </c>
      <c r="E38" s="33">
        <f>SUM(B38:D38)</f>
        <v/>
      </c>
      <c r="F38" s="46" t="inlineStr">
        <is>
          <t>Heaviest row — most marks in a real CBSE paper sit here.</t>
        </is>
      </c>
    </row>
    <row r="39" ht="15" customHeight="1" s="38">
      <c r="A39" s="20" t="inlineStr">
        <is>
          <t>Analyse</t>
        </is>
      </c>
      <c r="B39" s="8" t="n"/>
      <c r="C39" s="8" t="n">
        <v>2</v>
      </c>
      <c r="D39" s="8" t="n">
        <v>1</v>
      </c>
      <c r="E39" s="33">
        <f>SUM(B39:D39)</f>
        <v/>
      </c>
      <c r="F39" s="46" t="inlineStr">
        <is>
          <t>Assertion-Reason, multi-statement, match-the-following, error detection.</t>
        </is>
      </c>
    </row>
    <row r="40" ht="15" customHeight="1" s="38">
      <c r="A40" s="20" t="inlineStr">
        <is>
          <t>Evaluate</t>
        </is>
      </c>
      <c r="B40" s="8" t="n"/>
      <c r="C40" s="8" t="n">
        <v>1</v>
      </c>
      <c r="D40" s="8" t="n"/>
      <c r="E40" s="33">
        <f>SUM(B40:D40)</f>
        <v/>
      </c>
      <c r="F40" s="46" t="inlineStr">
        <is>
          <t>Justify and defend. Thin at Class 7.</t>
        </is>
      </c>
    </row>
    <row r="41" ht="15" customHeight="1" s="38">
      <c r="A41" s="20" t="inlineStr">
        <is>
          <t>Create</t>
        </is>
      </c>
      <c r="B41" s="8" t="n"/>
      <c r="C41" s="8" t="n"/>
      <c r="D41" s="8" t="n">
        <v>1</v>
      </c>
      <c r="E41" s="33">
        <f>SUM(B41:D41)</f>
        <v/>
      </c>
      <c r="F41" s="46" t="inlineStr">
        <is>
          <t>Design or construct. Rare below Class 9 — one item is enough.</t>
        </is>
      </c>
    </row>
    <row r="42" ht="15" customHeight="1" s="38">
      <c r="A42" s="22" t="inlineStr">
        <is>
          <t>TOTAL per concept</t>
        </is>
      </c>
      <c r="B42" s="6">
        <f>SUM(B36:B41)</f>
        <v/>
      </c>
      <c r="C42" s="6">
        <f>SUM(C36:C41)</f>
        <v/>
      </c>
      <c r="D42" s="6">
        <f>SUM(D36:D41)</f>
        <v/>
      </c>
      <c r="E42" s="6">
        <f>SUM(E36:E41)</f>
        <v/>
      </c>
    </row>
    <row r="43" ht="15" customHeight="1" s="38">
      <c r="A43" s="48" t="inlineStr">
        <is>
          <t>At 20 per concept only 11 of the 18 grid cells are filled, and most hold 1-3 questions. A blueprint asking for 'Analyse + Hardest' on one specific concept will often find a single candidate — which is fine while the bank is shallow, provided the generator reports the shortfall honestly (F032) and the no-repeat window (F026) is set per term rather than per year. Generation batches target grid cells, not concepts (F115).</t>
        </is>
      </c>
    </row>
    <row r="45" ht="19.5" customHeight="1" s="38">
      <c r="A45" s="40" t="inlineStr">
        <is>
          <t>F.  Decisions this forces</t>
        </is>
      </c>
    </row>
    <row r="46" ht="30" customHeight="1" s="38">
      <c r="A46" s="19" t="inlineStr">
        <is>
          <t>#</t>
        </is>
      </c>
      <c r="B46" s="19" t="inlineStr">
        <is>
          <t>Decision</t>
        </is>
      </c>
      <c r="C46" s="19" t="inlineStr">
        <is>
          <t>Recommendation</t>
        </is>
      </c>
      <c r="D46" s="19" t="n"/>
      <c r="E46" s="19" t="n"/>
      <c r="F46" s="19" t="n"/>
      <c r="G46" s="19" t="n"/>
      <c r="H46" s="19" t="n"/>
    </row>
    <row r="47" ht="23.25" customHeight="1" s="38">
      <c r="A47" s="4" t="inlineStr">
        <is>
          <t>1</t>
        </is>
      </c>
      <c r="B47" s="34" t="inlineStr">
        <is>
          <t>Who reviews the questions?</t>
        </is>
      </c>
      <c r="C47" s="51" t="inlineStr">
        <is>
          <t>You cannot review 50,000 questions yourself. Either accept the tiered model (F117) with sampled QA on objective items, or budget for a part-time subject teacher as a reviewer. Decide before F116 is built, because the pipeline design depends on it.</t>
        </is>
      </c>
      <c r="D47" s="52" t="n"/>
      <c r="E47" s="52" t="n"/>
      <c r="F47" s="52" t="n"/>
      <c r="G47" s="52" t="n"/>
      <c r="H47" s="53" t="n"/>
    </row>
    <row r="48" ht="23.25" customHeight="1" s="38">
      <c r="A48" s="4" t="inlineStr">
        <is>
          <t>2</t>
        </is>
      </c>
      <c r="B48" s="34" t="inlineStr">
        <is>
          <t>Does depth come before breadth?</t>
        </is>
      </c>
      <c r="C48" s="51" t="inlineStr">
        <is>
          <t>Settled: breadth first. 20 per concept across Maths and Science at launch, then the same depth across Social Studies and Telugu. Depth increases only after field data shows which questions discriminate between a student who knows the concept and one who does not.</t>
        </is>
      </c>
      <c r="D48" s="52" t="n"/>
      <c r="E48" s="52" t="n"/>
      <c r="F48" s="52" t="n"/>
      <c r="G48" s="52" t="n"/>
      <c r="H48" s="53" t="n"/>
    </row>
    <row r="49" ht="45.75" customHeight="1" s="38">
      <c r="A49" s="4" t="inlineStr">
        <is>
          <t>3</t>
        </is>
      </c>
      <c r="B49" s="34" t="inlineStr">
        <is>
          <t>'Diary of a Wimpy Kid' style is a legal problem</t>
        </is>
      </c>
      <c r="C49" s="54" t="inlineStr">
        <is>
          <t>The characters, the title, and the hand-lettered typeface are Jeff Kinney / Abrams intellectual property. Do not name it, imitate the characters, or use the font. Build a generic 'Doodle Journal' theme instead: ruled notebook paper, hand-drawn stick figures of your own, marker headings, sketchy borders. Same appeal, no exposure. Manga is a genre and is safe to evoke — provided no existing character, logo or series is reproduced.</t>
        </is>
      </c>
      <c r="D49" s="52" t="n"/>
      <c r="E49" s="52" t="n"/>
      <c r="F49" s="52" t="n"/>
      <c r="G49" s="52" t="n"/>
      <c r="H49" s="53" t="n"/>
    </row>
    <row r="50" ht="23.25" customHeight="1" s="38">
      <c r="A50" s="4" t="inlineStr">
        <is>
          <t>4</t>
        </is>
      </c>
      <c r="B50" s="34" t="inlineStr">
        <is>
          <t>Difficulty naming</t>
        </is>
      </c>
      <c r="C50" s="51" t="inlineStr">
        <is>
          <t>'Easy / Hard / Hardest' skips the middle and will push most questions into 'Hard'. Consider 'Easy / Challenging / Toughest' or keep three tiers but calibrate them in writing per subject (F114), so 'Hardest' in Maths and 'Hardest' in Telugu mean comparable things.</t>
        </is>
      </c>
      <c r="D50" s="52" t="n"/>
      <c r="E50" s="52" t="n"/>
      <c r="F50" s="52" t="n"/>
      <c r="G50" s="52" t="n"/>
      <c r="H50" s="53" t="n"/>
    </row>
    <row r="51" ht="57" customHeight="1" s="38">
      <c r="A51" s="4" t="inlineStr">
        <is>
          <t>5</t>
        </is>
      </c>
      <c r="B51" s="34" t="inlineStr">
        <is>
          <t>Can the student's difficulty choice override the weak-concept weighting?</t>
        </is>
      </c>
      <c r="C51" s="51" t="inlineStr">
        <is>
          <t>No. F119 makes difficulty a ceiling on question selection while the 40% weak/priority weighting always applies. Otherwise a child who always picks Easy quietly stops being diagnosed.</t>
        </is>
      </c>
      <c r="D51" s="52" t="n"/>
      <c r="E51" s="52" t="n"/>
      <c r="F51" s="52" t="n"/>
      <c r="G51" s="52" t="n"/>
      <c r="H51" s="53" t="n"/>
    </row>
    <row r="53" ht="19.5" customHeight="1" s="38">
      <c r="A53" s="40" t="inlineStr">
        <is>
          <t>G.  Designed to grow  —  seven commitments that make raising the target a config change, not a rebuild</t>
        </is>
      </c>
    </row>
    <row r="54" ht="25.5" customHeight="1" s="38">
      <c r="A54" s="19" t="inlineStr">
        <is>
          <t>#</t>
        </is>
      </c>
      <c r="B54" s="19" t="inlineStr">
        <is>
          <t>Commitment</t>
        </is>
      </c>
      <c r="C54" s="19" t="inlineStr">
        <is>
          <t>What it means in the build</t>
        </is>
      </c>
      <c r="D54" s="19" t="n"/>
      <c r="E54" s="19" t="n"/>
      <c r="F54" s="19" t="n"/>
      <c r="G54" s="19" t="n"/>
      <c r="H54" s="19" t="inlineStr">
        <is>
          <t>Feature</t>
        </is>
      </c>
    </row>
    <row r="55" ht="34.5" customHeight="1" s="38">
      <c r="A55" s="4" t="inlineStr">
        <is>
          <t>1</t>
        </is>
      </c>
      <c r="B55" s="34" t="inlineStr">
        <is>
          <t>Depth target is data, not a constant</t>
        </is>
      </c>
      <c r="C55" s="51" t="inlineStr">
        <is>
          <t>Store target_question_count per concept (with a default inherited from subject, then class). Changing 20 to 40 for one chapter is a row update, never a deploy.</t>
        </is>
      </c>
      <c r="D55" s="52" t="n"/>
      <c r="E55" s="52" t="n"/>
      <c r="F55" s="52" t="n"/>
      <c r="G55" s="53" t="n"/>
      <c r="H55" s="4" t="inlineStr">
        <is>
          <t>F122</t>
        </is>
      </c>
    </row>
    <row r="56" ht="34.5" customHeight="1" s="38">
      <c r="A56" s="4" t="inlineStr">
        <is>
          <t>2</t>
        </is>
      </c>
      <c r="B56" s="34" t="inlineStr">
        <is>
          <t>Coverage grid targets are editable</t>
        </is>
      </c>
      <c r="C56" s="51" t="inlineStr">
        <is>
          <t>The Bloom x difficulty target matrix in block E lives in a table, per subject and class. A Telugu grammar concept and a Maths geometry concept do not need the same shape.</t>
        </is>
      </c>
      <c r="D56" s="52" t="n"/>
      <c r="E56" s="52" t="n"/>
      <c r="F56" s="52" t="n"/>
      <c r="G56" s="53" t="n"/>
      <c r="H56" s="4" t="inlineStr">
        <is>
          <t>F114</t>
        </is>
      </c>
    </row>
    <row r="57" ht="34.5" customHeight="1" s="38">
      <c r="A57" s="4" t="inlineStr">
        <is>
          <t>3</t>
        </is>
      </c>
      <c r="B57" s="34" t="inlineStr">
        <is>
          <t>Generation tops up, it does not batch</t>
        </is>
      </c>
      <c r="C57" s="51" t="inlineStr">
        <is>
          <t>The job is 'bring concept X to its target', computed as target minus current approved count per grid cell. Running it twice is harmless; running it after raising a target simply generates the difference.</t>
        </is>
      </c>
      <c r="D57" s="52" t="n"/>
      <c r="E57" s="52" t="n"/>
      <c r="F57" s="52" t="n"/>
      <c r="G57" s="53" t="n"/>
      <c r="H57" s="4" t="inlineStr">
        <is>
          <t>F122, F116</t>
        </is>
      </c>
    </row>
    <row r="58" ht="23.25" customHeight="1" s="38">
      <c r="A58" s="4" t="inlineStr">
        <is>
          <t>4</t>
        </is>
      </c>
      <c r="B58" s="34" t="inlineStr">
        <is>
          <t>Nothing is ever deleted</t>
        </is>
      </c>
      <c r="C58" s="51" t="inlineStr">
        <is>
          <t>Questions move Draft to Approved to Retired. A retired question keeps its history, so a past evaluation and the concept ledger stay intact and auditable years later.</t>
        </is>
      </c>
      <c r="D58" s="52" t="n"/>
      <c r="E58" s="52" t="n"/>
      <c r="F58" s="52" t="n"/>
      <c r="G58" s="53" t="n"/>
      <c r="H58" s="4" t="inlineStr">
        <is>
          <t>F020, F118</t>
        </is>
      </c>
    </row>
    <row r="59" ht="34.5" customHeight="1" s="38">
      <c r="A59" s="4" t="inlineStr">
        <is>
          <t>5</t>
        </is>
      </c>
      <c r="B59" s="34" t="inlineStr">
        <is>
          <t>The repeat window is configurable</t>
        </is>
      </c>
      <c r="C59" s="51" t="inlineStr">
        <is>
          <t>At 20 per concept set the no-repeat window to one term. At 100 set it to a year. This is the single setting that decides whether a shallow bank feels shallow.</t>
        </is>
      </c>
      <c r="D59" s="52" t="n"/>
      <c r="E59" s="52" t="n"/>
      <c r="F59" s="52" t="n"/>
      <c r="G59" s="53" t="n"/>
      <c r="H59" s="4" t="inlineStr">
        <is>
          <t>F026</t>
        </is>
      </c>
    </row>
    <row r="60" ht="34.5" customHeight="1" s="38">
      <c r="A60" s="4" t="inlineStr">
        <is>
          <t>6</t>
        </is>
      </c>
      <c r="B60" s="34" t="inlineStr">
        <is>
          <t>Quality improves with volume, automatically</t>
        </is>
      </c>
      <c r="C60" s="51" t="inlineStr">
        <is>
          <t>Live stats promote and demote questions. As the bank grows, the weakest early items are flagged and retired instead of diluting the pool.</t>
        </is>
      </c>
      <c r="D60" s="52" t="n"/>
      <c r="E60" s="52" t="n"/>
      <c r="F60" s="52" t="n"/>
      <c r="G60" s="53" t="n"/>
      <c r="H60" s="4" t="inlineStr">
        <is>
          <t>F118</t>
        </is>
      </c>
    </row>
    <row r="61" ht="34.5" customHeight="1" s="38">
      <c r="A61" s="4" t="inlineStr">
        <is>
          <t>7</t>
        </is>
      </c>
      <c r="B61" s="34" t="inlineStr">
        <is>
          <t>Shortfalls are reported, never hidden</t>
        </is>
      </c>
      <c r="C61" s="51" t="inlineStr">
        <is>
          <t>When the bank cannot fill a blueprint slot the paper is still produced, with a printed note naming the concept and cell that came up short. That note is also your generation backlog.</t>
        </is>
      </c>
      <c r="D61" s="52" t="n"/>
      <c r="E61" s="52" t="n"/>
      <c r="F61" s="52" t="n"/>
      <c r="G61" s="53" t="n"/>
      <c r="H61" s="4" t="inlineStr">
        <is>
          <t>F032</t>
        </is>
      </c>
    </row>
    <row r="63" ht="27.75" customHeight="1" s="38">
      <c r="A63" s="50" t="inlineStr">
        <is>
          <t>Net effect: the bank starts at 20 per concept and about 10 reviewer-days, and can reach 100 per concept without touching a line of generation, selection or paper code. Only the numbers in block A and the target rows in the database change.</t>
        </is>
      </c>
    </row>
  </sheetData>
  <mergeCells count="42">
    <mergeCell ref="C10:H10"/>
    <mergeCell ref="C47:H47"/>
    <mergeCell ref="F36:H36"/>
    <mergeCell ref="C50:H50"/>
    <mergeCell ref="F41:H41"/>
    <mergeCell ref="C9:H9"/>
    <mergeCell ref="C58:G58"/>
    <mergeCell ref="A45:H45"/>
    <mergeCell ref="A1:H1"/>
    <mergeCell ref="C12:H12"/>
    <mergeCell ref="C11:H11"/>
    <mergeCell ref="F38:H38"/>
    <mergeCell ref="C51:H51"/>
    <mergeCell ref="C8:H8"/>
    <mergeCell ref="C55:G55"/>
    <mergeCell ref="C48:H48"/>
    <mergeCell ref="A27:H27"/>
    <mergeCell ref="F37:H37"/>
    <mergeCell ref="F39:H39"/>
    <mergeCell ref="C7:H7"/>
    <mergeCell ref="C56:G56"/>
    <mergeCell ref="C59:G59"/>
    <mergeCell ref="G30:H30"/>
    <mergeCell ref="A2:H2"/>
    <mergeCell ref="C60:G60"/>
    <mergeCell ref="A14:H14"/>
    <mergeCell ref="C49:H49"/>
    <mergeCell ref="C61:G61"/>
    <mergeCell ref="A22:H22"/>
    <mergeCell ref="F25:H25"/>
    <mergeCell ref="G29:H29"/>
    <mergeCell ref="A4:H4"/>
    <mergeCell ref="C6:H6"/>
    <mergeCell ref="A53:H53"/>
    <mergeCell ref="A43:H43"/>
    <mergeCell ref="G32:H32"/>
    <mergeCell ref="A63:H63"/>
    <mergeCell ref="F40:H40"/>
    <mergeCell ref="C57:G57"/>
    <mergeCell ref="G31:H31"/>
    <mergeCell ref="F24:H24"/>
    <mergeCell ref="A34:H34"/>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I62"/>
  <sheetViews>
    <sheetView showGridLines="0" zoomScaleNormal="100" workbookViewId="0">
      <pane ySplit="3" topLeftCell="A4" activePane="bottomLeft" state="frozen"/>
      <selection pane="bottomLeft" activeCell="A1" sqref="A1"/>
    </sheetView>
  </sheetViews>
  <sheetFormatPr baseColWidth="8" defaultColWidth="8.6328125" defaultRowHeight="14.5"/>
  <cols>
    <col width="26" customWidth="1" style="38" min="1" max="2"/>
    <col width="46" customWidth="1" style="38" min="3" max="3"/>
    <col width="30" customWidth="1" style="38" min="4" max="4"/>
    <col width="14" customWidth="1" style="38" min="5" max="8"/>
    <col width="22" customWidth="1" style="38" min="9" max="9"/>
  </cols>
  <sheetData>
    <row r="1" ht="24" customHeight="1" s="38">
      <c r="A1" s="42" t="inlineStr">
        <is>
          <t>17  Rollout Sequence  —  Class 7 Maths first, then Classes 6-12 by demand</t>
        </is>
      </c>
    </row>
    <row r="2" ht="15" customHeight="1" s="38">
      <c r="A2" s="48" t="inlineStr">
        <is>
          <t>Cost and review figures pull from the input cells on tab 16, so changing the depth target there updates this tab too. Concept counts are estimates — replace them as each book is ingested.</t>
        </is>
      </c>
    </row>
    <row r="4" ht="19.5" customHeight="1" s="38">
      <c r="A4" s="40" t="inlineStr">
        <is>
          <t>A.  Source inventory  —  NCERT Ganita Prakash, Class 7.  All 15 chapters accounted for; nothing needs uploading.</t>
        </is>
      </c>
    </row>
    <row r="5" ht="30" customHeight="1" s="38">
      <c r="A5" s="19" t="inlineStr">
        <is>
          <t>File code</t>
        </is>
      </c>
      <c r="B5" s="19" t="inlineStr">
        <is>
          <t>Part</t>
        </is>
      </c>
      <c r="C5" s="19" t="inlineStr">
        <is>
          <t>Ch</t>
        </is>
      </c>
      <c r="D5" s="19" t="inlineStr">
        <is>
          <t>Chapter name</t>
        </is>
      </c>
      <c r="E5" s="19" t="inlineStr">
        <is>
          <t>Pages</t>
        </is>
      </c>
      <c r="F5" s="19" t="inlineStr">
        <is>
          <t>Format</t>
        </is>
      </c>
      <c r="G5" s="19" t="inlineStr">
        <is>
          <t>Status</t>
        </is>
      </c>
      <c r="H5" s="19" t="inlineStr">
        <is>
          <t>Concepts (est.)</t>
        </is>
      </c>
      <c r="I5" s="19" t="inlineStr">
        <is>
          <t>Note</t>
        </is>
      </c>
    </row>
    <row r="6" ht="35" customHeight="1" s="38">
      <c r="A6" s="4" t="inlineStr">
        <is>
          <t>gegp101</t>
        </is>
      </c>
      <c r="B6" s="4" t="inlineStr">
        <is>
          <t>I</t>
        </is>
      </c>
      <c r="C6" s="4" t="n">
        <v>1</v>
      </c>
      <c r="D6" s="51" t="inlineStr">
        <is>
          <t>Large Numbers Around Us</t>
        </is>
      </c>
      <c r="E6" s="4" t="n">
        <v>23</v>
      </c>
      <c r="F6" s="51" t="inlineStr">
        <is>
          <t>ZIP of page JPEGs + per-page .txt</t>
        </is>
      </c>
      <c r="G6" s="27" t="inlineStr">
        <is>
          <t>READY</t>
        </is>
      </c>
      <c r="H6" s="4" t="n">
        <v>5</v>
      </c>
      <c r="I6" s="51" t="inlineStr">
        <is>
          <t>Text layer clean</t>
        </is>
      </c>
    </row>
    <row r="7" ht="35" customHeight="1" s="38">
      <c r="A7" s="4" t="inlineStr">
        <is>
          <t>gegp102</t>
        </is>
      </c>
      <c r="B7" s="4" t="inlineStr">
        <is>
          <t>I</t>
        </is>
      </c>
      <c r="C7" s="4" t="n">
        <v>2</v>
      </c>
      <c r="D7" s="51" t="inlineStr">
        <is>
          <t>Arithmetic Expressions</t>
        </is>
      </c>
      <c r="E7" s="4" t="n">
        <v>22</v>
      </c>
      <c r="F7" s="51" t="inlineStr">
        <is>
          <t>ZIP of page JPEGs + per-page .txt</t>
        </is>
      </c>
      <c r="G7" s="27" t="inlineStr">
        <is>
          <t>READY</t>
        </is>
      </c>
      <c r="H7" s="4" t="n">
        <v>4</v>
      </c>
      <c r="I7" s="51" t="inlineStr">
        <is>
          <t>Text layer clean</t>
        </is>
      </c>
    </row>
    <row r="8" ht="35" customHeight="1" s="38">
      <c r="A8" s="4" t="inlineStr">
        <is>
          <t>gegp103</t>
        </is>
      </c>
      <c r="B8" s="4" t="inlineStr">
        <is>
          <t>I</t>
        </is>
      </c>
      <c r="C8" s="4" t="n">
        <v>3</v>
      </c>
      <c r="D8" s="51" t="inlineStr">
        <is>
          <t>A Peek Beyond the Point (Decimals)</t>
        </is>
      </c>
      <c r="E8" s="4" t="n">
        <v>35</v>
      </c>
      <c r="F8" s="51" t="inlineStr">
        <is>
          <t>True PDF</t>
        </is>
      </c>
      <c r="G8" s="27" t="inlineStr">
        <is>
          <t>READY</t>
        </is>
      </c>
      <c r="H8" s="4" t="n">
        <v>8</v>
      </c>
      <c r="I8" s="51" t="inlineStr">
        <is>
          <t>Supplied earlier; scope already authored; one paper generated</t>
        </is>
      </c>
    </row>
    <row r="9" ht="35" customHeight="1" s="38">
      <c r="A9" s="4" t="inlineStr">
        <is>
          <t>gegp104</t>
        </is>
      </c>
      <c r="B9" s="4" t="inlineStr">
        <is>
          <t>I</t>
        </is>
      </c>
      <c r="C9" s="4" t="n">
        <v>4</v>
      </c>
      <c r="D9" s="51" t="inlineStr">
        <is>
          <t>Expressions Using Letter-Numbers</t>
        </is>
      </c>
      <c r="E9" s="4" t="n">
        <v>25</v>
      </c>
      <c r="F9" s="51" t="inlineStr">
        <is>
          <t>True PDF</t>
        </is>
      </c>
      <c r="G9" s="27" t="inlineStr">
        <is>
          <t>READY</t>
        </is>
      </c>
      <c r="H9" s="4" t="n">
        <v>5</v>
      </c>
      <c r="I9" s="51" t="inlineStr">
        <is>
          <t>Supplied earlier; scope already authored; one paper generated</t>
        </is>
      </c>
    </row>
    <row r="10" ht="35" customHeight="1" s="38">
      <c r="A10" s="4" t="inlineStr">
        <is>
          <t>gegp105</t>
        </is>
      </c>
      <c r="B10" s="4" t="inlineStr">
        <is>
          <t>I</t>
        </is>
      </c>
      <c r="C10" s="4" t="n">
        <v>5</v>
      </c>
      <c r="D10" s="51" t="inlineStr">
        <is>
          <t>Parallel and Intersecting Lines</t>
        </is>
      </c>
      <c r="E10" s="4" t="n">
        <v>21</v>
      </c>
      <c r="F10" s="51" t="inlineStr">
        <is>
          <t>True PDF</t>
        </is>
      </c>
      <c r="G10" s="27" t="inlineStr">
        <is>
          <t>READY</t>
        </is>
      </c>
      <c r="H10" s="4" t="n">
        <v>9</v>
      </c>
      <c r="I10" s="51" t="inlineStr">
        <is>
          <t>Supplied earlier; scope already authored; one paper generated</t>
        </is>
      </c>
    </row>
    <row r="11" ht="35" customHeight="1" s="38">
      <c r="A11" s="4" t="inlineStr">
        <is>
          <t>gegp106</t>
        </is>
      </c>
      <c r="B11" s="4" t="inlineStr">
        <is>
          <t>I</t>
        </is>
      </c>
      <c r="C11" s="4" t="n">
        <v>6</v>
      </c>
      <c r="D11" s="51" t="inlineStr">
        <is>
          <t>Number Play</t>
        </is>
      </c>
      <c r="E11" s="4" t="n">
        <v>19</v>
      </c>
      <c r="F11" s="51" t="inlineStr">
        <is>
          <t>ZIP of page JPEGs + per-page .txt</t>
        </is>
      </c>
      <c r="G11" s="27" t="inlineStr">
        <is>
          <t>READY</t>
        </is>
      </c>
      <c r="H11" s="4" t="n">
        <v>4</v>
      </c>
      <c r="I11" s="51" t="inlineStr">
        <is>
          <t>Text layer clean</t>
        </is>
      </c>
    </row>
    <row r="12" ht="35" customHeight="1" s="38">
      <c r="A12" s="4" t="inlineStr">
        <is>
          <t>gegp107</t>
        </is>
      </c>
      <c r="B12" s="4" t="inlineStr">
        <is>
          <t>I</t>
        </is>
      </c>
      <c r="C12" s="4" t="n">
        <v>7</v>
      </c>
      <c r="D12" s="51" t="inlineStr">
        <is>
          <t>A Tale of Three Intersecting Lines (Triangles)</t>
        </is>
      </c>
      <c r="E12" s="4" t="n">
        <v>27</v>
      </c>
      <c r="F12" s="51" t="inlineStr">
        <is>
          <t>ZIP of page JPEGs + per-page .txt</t>
        </is>
      </c>
      <c r="G12" s="27" t="inlineStr">
        <is>
          <t>READY</t>
        </is>
      </c>
      <c r="H12" s="4" t="n">
        <v>5</v>
      </c>
      <c r="I12" s="51" t="inlineStr">
        <is>
          <t>Text layer clean</t>
        </is>
      </c>
    </row>
    <row r="13" ht="35" customHeight="1" s="38">
      <c r="A13" s="4" t="inlineStr">
        <is>
          <t>gegp108</t>
        </is>
      </c>
      <c r="B13" s="4" t="inlineStr">
        <is>
          <t>I</t>
        </is>
      </c>
      <c r="C13" s="4" t="n">
        <v>8</v>
      </c>
      <c r="D13" s="51" t="inlineStr">
        <is>
          <t>Working with Fractions</t>
        </is>
      </c>
      <c r="E13" s="4" t="n">
        <v>30</v>
      </c>
      <c r="F13" s="51" t="inlineStr">
        <is>
          <t>ZIP of page JPEGs + per-page .txt</t>
        </is>
      </c>
      <c r="G13" s="27" t="inlineStr">
        <is>
          <t>READY</t>
        </is>
      </c>
      <c r="H13" s="4" t="n">
        <v>5</v>
      </c>
      <c r="I13" s="51" t="inlineStr">
        <is>
          <t>Text layer clean</t>
        </is>
      </c>
    </row>
    <row r="14" ht="35" customHeight="1" s="38">
      <c r="A14" s="4" t="inlineStr">
        <is>
          <t>gegp201</t>
        </is>
      </c>
      <c r="B14" s="4" t="inlineStr">
        <is>
          <t>II</t>
        </is>
      </c>
      <c r="C14" s="4" t="n">
        <v>1</v>
      </c>
      <c r="D14" s="51" t="inlineStr">
        <is>
          <t>Geometric Twins</t>
        </is>
      </c>
      <c r="E14" s="4" t="n">
        <v>23</v>
      </c>
      <c r="F14" s="51" t="inlineStr">
        <is>
          <t>ZIP of page JPEGs + per-page .txt</t>
        </is>
      </c>
      <c r="G14" s="27" t="inlineStr">
        <is>
          <t>READY</t>
        </is>
      </c>
      <c r="H14" s="4" t="n">
        <v>4</v>
      </c>
      <c r="I14" s="51" t="inlineStr">
        <is>
          <t>Text layer clean</t>
        </is>
      </c>
    </row>
    <row r="15" ht="35" customHeight="1" s="38">
      <c r="A15" s="4" t="inlineStr">
        <is>
          <t>gegp202</t>
        </is>
      </c>
      <c r="B15" s="4" t="inlineStr">
        <is>
          <t>II</t>
        </is>
      </c>
      <c r="C15" s="4" t="n">
        <v>2</v>
      </c>
      <c r="D15" s="51" t="inlineStr">
        <is>
          <t>Operations with Integers</t>
        </is>
      </c>
      <c r="E15" s="4" t="n">
        <v>23</v>
      </c>
      <c r="F15" s="51" t="inlineStr">
        <is>
          <t>ZIP of page JPEGs + per-page .txt</t>
        </is>
      </c>
      <c r="G15" s="27" t="inlineStr">
        <is>
          <t>READY</t>
        </is>
      </c>
      <c r="H15" s="4" t="n">
        <v>5</v>
      </c>
      <c r="I15" s="51" t="inlineStr">
        <is>
          <t>Text layer clean</t>
        </is>
      </c>
    </row>
    <row r="16" ht="35" customHeight="1" s="38">
      <c r="A16" s="4" t="inlineStr">
        <is>
          <t>gegp203</t>
        </is>
      </c>
      <c r="B16" s="4" t="inlineStr">
        <is>
          <t>II</t>
        </is>
      </c>
      <c r="C16" s="4" t="n">
        <v>3</v>
      </c>
      <c r="D16" s="51" t="inlineStr">
        <is>
          <t>Finding Common Ground (HCF / LCM)</t>
        </is>
      </c>
      <c r="E16" s="4" t="n">
        <v>20</v>
      </c>
      <c r="F16" s="51" t="inlineStr">
        <is>
          <t>ZIP of page JPEGs + per-page .txt</t>
        </is>
      </c>
      <c r="G16" s="27" t="inlineStr">
        <is>
          <t>READY</t>
        </is>
      </c>
      <c r="H16" s="4" t="n">
        <v>4</v>
      </c>
      <c r="I16" s="51" t="inlineStr">
        <is>
          <t>Text layer clean</t>
        </is>
      </c>
    </row>
    <row r="17" ht="35" customHeight="1" s="38">
      <c r="A17" s="4" t="inlineStr">
        <is>
          <t>gegp204</t>
        </is>
      </c>
      <c r="B17" s="4" t="inlineStr">
        <is>
          <t>II</t>
        </is>
      </c>
      <c r="C17" s="4" t="n">
        <v>4</v>
      </c>
      <c r="D17" s="51" t="inlineStr">
        <is>
          <t>Another Peek Beyond the Point</t>
        </is>
      </c>
      <c r="E17" s="4" t="n">
        <v>30</v>
      </c>
      <c r="F17" s="51" t="inlineStr">
        <is>
          <t>ZIP of page JPEGs + per-page .txt</t>
        </is>
      </c>
      <c r="G17" s="27" t="inlineStr">
        <is>
          <t>READY</t>
        </is>
      </c>
      <c r="H17" s="4" t="n">
        <v>5</v>
      </c>
      <c r="I17" s="51" t="inlineStr">
        <is>
          <t>Builds on Part I Ch 3 — link as prerequisite</t>
        </is>
      </c>
    </row>
    <row r="18" ht="35" customHeight="1" s="38">
      <c r="A18" s="4" t="inlineStr">
        <is>
          <t>gegp205</t>
        </is>
      </c>
      <c r="B18" s="4" t="inlineStr">
        <is>
          <t>II</t>
        </is>
      </c>
      <c r="C18" s="4" t="n">
        <v>5</v>
      </c>
      <c r="D18" s="51" t="inlineStr">
        <is>
          <t>Connecting the Dots...</t>
        </is>
      </c>
      <c r="E18" s="4" t="n">
        <v>39</v>
      </c>
      <c r="F18" s="51" t="inlineStr">
        <is>
          <t>ZIP of page JPEGs + per-page .txt</t>
        </is>
      </c>
      <c r="G18" s="27" t="inlineStr">
        <is>
          <t>READY</t>
        </is>
      </c>
      <c r="H18" s="4" t="n">
        <v>6</v>
      </c>
      <c r="I18" s="51" t="inlineStr">
        <is>
          <t>Longest chapter</t>
        </is>
      </c>
    </row>
    <row r="19" ht="35" customHeight="1" s="38">
      <c r="A19" s="4" t="inlineStr">
        <is>
          <t>gegp206</t>
        </is>
      </c>
      <c r="B19" s="4" t="inlineStr">
        <is>
          <t>II</t>
        </is>
      </c>
      <c r="C19" s="4" t="n">
        <v>6</v>
      </c>
      <c r="D19" s="51" t="inlineStr">
        <is>
          <t>Constructions and Tilings</t>
        </is>
      </c>
      <c r="E19" s="4" t="n">
        <v>28</v>
      </c>
      <c r="F19" s="51" t="inlineStr">
        <is>
          <t>ZIP of page JPEGs + per-page .txt</t>
        </is>
      </c>
      <c r="G19" s="27" t="inlineStr">
        <is>
          <t>READY</t>
        </is>
      </c>
      <c r="H19" s="4" t="n">
        <v>5</v>
      </c>
      <c r="I19" s="51" t="inlineStr">
        <is>
          <t>References Grade 6 constructions — cross-class prerequisite</t>
        </is>
      </c>
    </row>
    <row r="20" ht="35" customHeight="1" s="38">
      <c r="A20" s="4" t="inlineStr">
        <is>
          <t>gegp207</t>
        </is>
      </c>
      <c r="B20" s="4" t="inlineStr">
        <is>
          <t>II</t>
        </is>
      </c>
      <c r="C20" s="4" t="n">
        <v>7</v>
      </c>
      <c r="D20" s="51" t="inlineStr">
        <is>
          <t>Finding the Unknown</t>
        </is>
      </c>
      <c r="E20" s="4" t="n">
        <v>35</v>
      </c>
      <c r="F20" s="51" t="inlineStr">
        <is>
          <t>ZIP of page JPEGs + per-page .txt</t>
        </is>
      </c>
      <c r="G20" s="27" t="inlineStr">
        <is>
          <t>READY</t>
        </is>
      </c>
      <c r="H20" s="4" t="n">
        <v>5</v>
      </c>
      <c r="I20" s="51" t="inlineStr">
        <is>
          <t>Text layer clean</t>
        </is>
      </c>
    </row>
    <row r="21" ht="15" customHeight="1" s="38">
      <c r="D21" s="6" t="inlineStr">
        <is>
          <t>TOTAL — Class 7 Mathematics</t>
        </is>
      </c>
      <c r="E21" s="6">
        <f>SUM(E6:E20)</f>
        <v/>
      </c>
      <c r="G21" s="15" t="n"/>
      <c r="H21" s="6">
        <f>SUM(H6:H20)</f>
        <v/>
      </c>
    </row>
    <row r="22" ht="30" customHeight="1" s="38">
      <c r="A22" s="50" t="inlineStr">
        <is>
          <t>The 12 files in the project folder are NOT corrupt. They are ZIP archives of page JPEGs plus a per-page text layer and a manifest.json, saved with a .pdf extension — which is why every PDF reader rejected them. Renaming to .zip and extracting gives clean, machine-readable text for all 319 pages. Chapters 3, 4 and 5 were supplied separately as real PDFs and their scope records already exist.</t>
        </is>
      </c>
    </row>
    <row r="24" ht="19.5" customHeight="1" s="38">
      <c r="A24" s="40" t="inlineStr">
        <is>
          <t>B.  What launching on Class 7 Maths alone actually costs</t>
        </is>
      </c>
    </row>
    <row r="25" ht="30" customHeight="1" s="38">
      <c r="A25" s="19" t="inlineStr">
        <is>
          <t>Metric</t>
        </is>
      </c>
      <c r="B25" s="19" t="inlineStr">
        <is>
          <t>Value</t>
        </is>
      </c>
      <c r="C25" s="19" t="inlineStr">
        <is>
          <t>Note</t>
        </is>
      </c>
      <c r="D25" s="19" t="n"/>
      <c r="E25" s="19" t="n"/>
      <c r="F25" s="19" t="n"/>
      <c r="G25" s="19" t="n"/>
      <c r="H25" s="19" t="n"/>
      <c r="I25" s="19" t="n"/>
    </row>
    <row r="26" ht="15" customHeight="1" s="38">
      <c r="A26" s="35" t="inlineStr">
        <is>
          <t>Chapters</t>
        </is>
      </c>
      <c r="B26" s="21">
        <f>15</f>
        <v/>
      </c>
      <c r="C26" s="46" t="inlineStr">
        <is>
          <t>Part I (8) + Part II (7)</t>
        </is>
      </c>
    </row>
    <row r="27" ht="15" customHeight="1" s="38">
      <c r="A27" s="35" t="inlineStr">
        <is>
          <t>Concepts</t>
        </is>
      </c>
      <c r="B27" s="21">
        <f>$H$21</f>
        <v/>
      </c>
      <c r="C27" s="46" t="inlineStr">
        <is>
          <t>Estimated from the inventory above; firm these up during scope authoring (F016)</t>
        </is>
      </c>
    </row>
    <row r="28" ht="15" customHeight="1" s="38">
      <c r="A28" s="35" t="inlineStr">
        <is>
          <t>Questions at target depth</t>
        </is>
      </c>
      <c r="B28" s="21">
        <f>$H$21*'16 Question Bank Plan'!$B$6</f>
        <v/>
      </c>
      <c r="C28" s="46" t="inlineStr">
        <is>
          <t>At the 20-per-concept target set on tab 16</t>
        </is>
      </c>
    </row>
    <row r="29" ht="15" customHeight="1" s="38">
      <c r="A29" s="35" t="inlineStr">
        <is>
          <t>Questions to generate (incl. rejects)</t>
        </is>
      </c>
      <c r="B29" s="21">
        <f>ROUND(B28/(1-'16 Question Bank Plan'!$B$12),0)</f>
        <v/>
      </c>
      <c r="C29" s="46" t="inlineStr">
        <is>
          <t>Allows for duplicates, out-of-scope and ambiguous items</t>
        </is>
      </c>
    </row>
    <row r="30" ht="15" customHeight="1" s="38">
      <c r="A30" s="35" t="inlineStr">
        <is>
          <t>AI generation cost (INR)</t>
        </is>
      </c>
      <c r="B30" s="21">
        <f>B29*'16 Question Bank Plan'!$B$7</f>
        <v/>
      </c>
      <c r="C30" s="46" t="inlineStr">
        <is>
          <t>One-off</t>
        </is>
      </c>
    </row>
    <row r="31" ht="15" customHeight="1" s="38">
      <c r="A31" s="35" t="inlineStr">
        <is>
          <t>Human review, tiered model (days)</t>
        </is>
      </c>
      <c r="B31" s="21">
        <f>ROUND((B28*'16 Question Bank Plan'!$B$10*'16 Question Bank Plan'!$B$9+B28*(1-'16 Question Bank Plan'!$B$10))*'16 Question Bank Plan'!$B$8/60/'16 Question Bank Plan'!$B$11,0)</f>
        <v/>
      </c>
      <c r="C31" s="46" t="inlineStr">
        <is>
          <t>Tier A sampled, Tier B fully read — F117</t>
        </is>
      </c>
    </row>
    <row r="32" ht="15" customHeight="1" s="38">
      <c r="A32" s="35" t="inlineStr">
        <is>
          <t>Scope authoring (days)</t>
        </is>
      </c>
      <c r="B32" s="21">
        <f>15*0.5</f>
        <v/>
      </c>
      <c r="C32" s="46" t="inlineStr">
        <is>
          <t>About half a day per chapter to write the IN / OUT scope records with page refs</t>
        </is>
      </c>
    </row>
    <row r="33" ht="15" customHeight="1" s="38">
      <c r="A33" s="50" t="inlineStr">
        <is>
          <t>Content work for the entire launch subject is roughly one working week. The bank is not the bottleneck — the product is.</t>
        </is>
      </c>
    </row>
    <row r="35" ht="19.5" customHeight="1" s="38">
      <c r="A35" s="40" t="inlineStr">
        <is>
          <t>C.  Scaling to Classes 6-12  —  what the full ambition costs in content</t>
        </is>
      </c>
    </row>
    <row r="36" ht="30" customHeight="1" s="38">
      <c r="A36" s="19" t="inlineStr">
        <is>
          <t>Band</t>
        </is>
      </c>
      <c r="B36" s="19" t="inlineStr">
        <is>
          <t>Classes</t>
        </is>
      </c>
      <c r="C36" s="19" t="inlineStr">
        <is>
          <t>Subjects</t>
        </is>
      </c>
      <c r="D36" s="19" t="inlineStr">
        <is>
          <t>Class-subjects</t>
        </is>
      </c>
      <c r="E36" s="19" t="inlineStr">
        <is>
          <t>Concepts each</t>
        </is>
      </c>
      <c r="F36" s="19" t="inlineStr">
        <is>
          <t>Total concepts</t>
        </is>
      </c>
      <c r="G36" s="19" t="inlineStr">
        <is>
          <t>Questions</t>
        </is>
      </c>
      <c r="H36" s="19" t="inlineStr">
        <is>
          <t>Gen cost (INR)</t>
        </is>
      </c>
      <c r="I36" s="19" t="inlineStr">
        <is>
          <t>Reviewer-days</t>
        </is>
      </c>
    </row>
    <row r="37" ht="15" customHeight="1" s="38">
      <c r="A37" s="51" t="inlineStr">
        <is>
          <t>Middle — Maths &amp; Science</t>
        </is>
      </c>
      <c r="B37" s="51" t="inlineStr">
        <is>
          <t>6, 7, 8</t>
        </is>
      </c>
      <c r="C37" s="51" t="inlineStr">
        <is>
          <t>Maths, Science</t>
        </is>
      </c>
      <c r="D37" s="25" t="n">
        <v>6</v>
      </c>
      <c r="E37" s="25" t="n">
        <v>65</v>
      </c>
      <c r="F37" s="21">
        <f>D37*E37</f>
        <v/>
      </c>
      <c r="G37" s="21">
        <f>F37*'16 Question Bank Plan'!$B$6</f>
        <v/>
      </c>
      <c r="H37" s="21">
        <f>ROUND(G37/(1-'16 Question Bank Plan'!$B$12),0)*'16 Question Bank Plan'!$B$7</f>
        <v/>
      </c>
      <c r="I37" s="21">
        <f>ROUND((G37*'16 Question Bank Plan'!$B$10*'16 Question Bank Plan'!$B$9+G37*(1-'16 Question Bank Plan'!$B$10))*'16 Question Bank Plan'!$B$8/60/'16 Question Bank Plan'!$B$11,0)</f>
        <v/>
      </c>
    </row>
    <row r="38" ht="15" customHeight="1" s="38">
      <c r="A38" s="51" t="inlineStr">
        <is>
          <t>Middle — Social Studies</t>
        </is>
      </c>
      <c r="B38" s="51" t="inlineStr">
        <is>
          <t>6, 7, 8</t>
        </is>
      </c>
      <c r="C38" s="51" t="inlineStr">
        <is>
          <t>Social Studies</t>
        </is>
      </c>
      <c r="D38" s="25" t="n">
        <v>3</v>
      </c>
      <c r="E38" s="25" t="n">
        <v>80</v>
      </c>
      <c r="F38" s="21">
        <f>D38*E38</f>
        <v/>
      </c>
      <c r="G38" s="21">
        <f>F38*'16 Question Bank Plan'!$B$6</f>
        <v/>
      </c>
      <c r="H38" s="21">
        <f>ROUND(G38/(1-'16 Question Bank Plan'!$B$12),0)*'16 Question Bank Plan'!$B$7</f>
        <v/>
      </c>
      <c r="I38" s="21">
        <f>ROUND((G38*'16 Question Bank Plan'!$B$10*'16 Question Bank Plan'!$B$9+G38*(1-'16 Question Bank Plan'!$B$10))*'16 Question Bank Plan'!$B$8/60/'16 Question Bank Plan'!$B$11,0)</f>
        <v/>
      </c>
    </row>
    <row r="39" ht="15" customHeight="1" s="38">
      <c r="A39" s="51" t="inlineStr">
        <is>
          <t>Middle — Telugu</t>
        </is>
      </c>
      <c r="B39" s="51" t="inlineStr">
        <is>
          <t>6, 7, 8</t>
        </is>
      </c>
      <c r="C39" s="51" t="inlineStr">
        <is>
          <t>Telugu</t>
        </is>
      </c>
      <c r="D39" s="25" t="n">
        <v>3</v>
      </c>
      <c r="E39" s="25" t="n">
        <v>45</v>
      </c>
      <c r="F39" s="21">
        <f>D39*E39</f>
        <v/>
      </c>
      <c r="G39" s="21">
        <f>F39*'16 Question Bank Plan'!$B$6</f>
        <v/>
      </c>
      <c r="H39" s="21">
        <f>ROUND(G39/(1-'16 Question Bank Plan'!$B$12),0)*'16 Question Bank Plan'!$B$7</f>
        <v/>
      </c>
      <c r="I39" s="21">
        <f>ROUND((G39*'16 Question Bank Plan'!$B$10*'16 Question Bank Plan'!$B$9+G39*(1-'16 Question Bank Plan'!$B$10))*'16 Question Bank Plan'!$B$8/60/'16 Question Bank Plan'!$B$11,0)</f>
        <v/>
      </c>
    </row>
    <row r="40" ht="15" customHeight="1" s="38">
      <c r="A40" s="51" t="inlineStr">
        <is>
          <t>Secondary — Maths &amp; Science</t>
        </is>
      </c>
      <c r="B40" s="51" t="inlineStr">
        <is>
          <t>9, 10</t>
        </is>
      </c>
      <c r="C40" s="51" t="inlineStr">
        <is>
          <t>Maths, Science</t>
        </is>
      </c>
      <c r="D40" s="25" t="n">
        <v>4</v>
      </c>
      <c r="E40" s="25" t="n">
        <v>80</v>
      </c>
      <c r="F40" s="21">
        <f>D40*E40</f>
        <v/>
      </c>
      <c r="G40" s="21">
        <f>F40*'16 Question Bank Plan'!$B$6</f>
        <v/>
      </c>
      <c r="H40" s="21">
        <f>ROUND(G40/(1-'16 Question Bank Plan'!$B$12),0)*'16 Question Bank Plan'!$B$7</f>
        <v/>
      </c>
      <c r="I40" s="21">
        <f>ROUND((G40*'16 Question Bank Plan'!$B$10*'16 Question Bank Plan'!$B$9+G40*(1-'16 Question Bank Plan'!$B$10))*'16 Question Bank Plan'!$B$8/60/'16 Question Bank Plan'!$B$11,0)</f>
        <v/>
      </c>
    </row>
    <row r="41" ht="15" customHeight="1" s="38">
      <c r="A41" s="51" t="inlineStr">
        <is>
          <t>Secondary — Social Studies</t>
        </is>
      </c>
      <c r="B41" s="51" t="inlineStr">
        <is>
          <t>9, 10</t>
        </is>
      </c>
      <c r="C41" s="51" t="inlineStr">
        <is>
          <t>Social Studies</t>
        </is>
      </c>
      <c r="D41" s="25" t="n">
        <v>2</v>
      </c>
      <c r="E41" s="25" t="n">
        <v>95</v>
      </c>
      <c r="F41" s="21">
        <f>D41*E41</f>
        <v/>
      </c>
      <c r="G41" s="21">
        <f>F41*'16 Question Bank Plan'!$B$6</f>
        <v/>
      </c>
      <c r="H41" s="21">
        <f>ROUND(G41/(1-'16 Question Bank Plan'!$B$12),0)*'16 Question Bank Plan'!$B$7</f>
        <v/>
      </c>
      <c r="I41" s="21">
        <f>ROUND((G41*'16 Question Bank Plan'!$B$10*'16 Question Bank Plan'!$B$9+G41*(1-'16 Question Bank Plan'!$B$10))*'16 Question Bank Plan'!$B$8/60/'16 Question Bank Plan'!$B$11,0)</f>
        <v/>
      </c>
    </row>
    <row r="42" ht="15" customHeight="1" s="38">
      <c r="A42" s="51" t="inlineStr">
        <is>
          <t>Secondary — Telugu</t>
        </is>
      </c>
      <c r="B42" s="51" t="inlineStr">
        <is>
          <t>9, 10</t>
        </is>
      </c>
      <c r="C42" s="51" t="inlineStr">
        <is>
          <t>Telugu</t>
        </is>
      </c>
      <c r="D42" s="25" t="n">
        <v>2</v>
      </c>
      <c r="E42" s="25" t="n">
        <v>50</v>
      </c>
      <c r="F42" s="21">
        <f>D42*E42</f>
        <v/>
      </c>
      <c r="G42" s="21">
        <f>F42*'16 Question Bank Plan'!$B$6</f>
        <v/>
      </c>
      <c r="H42" s="21">
        <f>ROUND(G42/(1-'16 Question Bank Plan'!$B$12),0)*'16 Question Bank Plan'!$B$7</f>
        <v/>
      </c>
      <c r="I42" s="21">
        <f>ROUND((G42*'16 Question Bank Plan'!$B$10*'16 Question Bank Plan'!$B$9+G42*(1-'16 Question Bank Plan'!$B$10))*'16 Question Bank Plan'!$B$8/60/'16 Question Bank Plan'!$B$11,0)</f>
        <v/>
      </c>
    </row>
    <row r="43" ht="15" customHeight="1" s="38">
      <c r="A43" s="51" t="inlineStr">
        <is>
          <t>Senior — PCM / PCB</t>
        </is>
      </c>
      <c r="B43" s="51" t="inlineStr">
        <is>
          <t>11, 12</t>
        </is>
      </c>
      <c r="C43" s="51" t="inlineStr">
        <is>
          <t>Maths, Physics, Chemistry, Biology</t>
        </is>
      </c>
      <c r="D43" s="25" t="n">
        <v>8</v>
      </c>
      <c r="E43" s="25" t="n">
        <v>110</v>
      </c>
      <c r="F43" s="21">
        <f>D43*E43</f>
        <v/>
      </c>
      <c r="G43" s="21">
        <f>F43*'16 Question Bank Plan'!$B$6</f>
        <v/>
      </c>
      <c r="H43" s="21">
        <f>ROUND(G43/(1-'16 Question Bank Plan'!$B$12),0)*'16 Question Bank Plan'!$B$7</f>
        <v/>
      </c>
      <c r="I43" s="21">
        <f>ROUND((G43*'16 Question Bank Plan'!$B$10*'16 Question Bank Plan'!$B$9+G43*(1-'16 Question Bank Plan'!$B$10))*'16 Question Bank Plan'!$B$8/60/'16 Question Bank Plan'!$B$11,0)</f>
        <v/>
      </c>
    </row>
    <row r="44" ht="15" customHeight="1" s="38">
      <c r="A44" s="22" t="inlineStr">
        <is>
          <t>TOTAL — Classes 6 to 12, all subjects</t>
        </is>
      </c>
      <c r="D44" s="23">
        <f>SUM(D37:D43)</f>
        <v/>
      </c>
      <c r="E44" s="36" t="n"/>
      <c r="F44" s="23">
        <f>SUM(F37:F43)</f>
        <v/>
      </c>
      <c r="G44" s="23">
        <f>SUM(G37:G43)</f>
        <v/>
      </c>
      <c r="H44" s="23">
        <f>SUM(H37:H43)</f>
        <v/>
      </c>
      <c r="I44" s="23">
        <f>SUM(I37:I43)</f>
        <v/>
      </c>
    </row>
    <row r="45" ht="15" customHeight="1" s="38">
      <c r="A45" s="48" t="inlineStr">
        <is>
          <t>Content cost per class-subject is roughly constant, so sequence by demand and defensibility, not by cost. Spread across three years this is a part-time content role, not a department.</t>
        </is>
      </c>
    </row>
    <row r="47" ht="19.5" customHeight="1" s="38">
      <c r="A47" s="40" t="inlineStr">
        <is>
          <t>D.  Recommended sequence  —  follow the student, not the market</t>
        </is>
      </c>
    </row>
    <row r="48" ht="30" customHeight="1" s="38">
      <c r="A48" s="19" t="inlineStr">
        <is>
          <t>Wave</t>
        </is>
      </c>
      <c r="B48" s="19" t="inlineStr">
        <is>
          <t>Scope</t>
        </is>
      </c>
      <c r="C48" s="19" t="inlineStr">
        <is>
          <t>Why now</t>
        </is>
      </c>
      <c r="D48" s="19" t="inlineStr">
        <is>
          <t>Risk if done earlier / later</t>
        </is>
      </c>
      <c r="E48" s="19" t="n"/>
      <c r="F48" s="19" t="n"/>
      <c r="G48" s="19" t="n"/>
      <c r="H48" s="19" t="n"/>
      <c r="I48" s="19" t="inlineStr">
        <is>
          <t>Trigger to start</t>
        </is>
      </c>
    </row>
    <row r="49" ht="46.25" customHeight="1" s="38">
      <c r="A49" s="33" t="inlineStr">
        <is>
          <t>W1</t>
        </is>
      </c>
      <c r="B49" s="34" t="inlineStr">
        <is>
          <t>Class 7 Maths</t>
        </is>
      </c>
      <c r="C49" s="51" t="inlineStr">
        <is>
          <t>The book is in hand, three chapters already have scope records and generated papers, and Mahika is the live test case. Proves the whole loop end to end on one subject.</t>
        </is>
      </c>
      <c r="D49" s="51" t="inlineStr">
        <is>
          <t>Nothing. This is the right starting point.</t>
        </is>
      </c>
      <c r="E49" s="52" t="n"/>
      <c r="F49" s="52" t="n"/>
      <c r="G49" s="52" t="n"/>
      <c r="H49" s="53" t="n"/>
      <c r="I49" s="51" t="inlineStr">
        <is>
          <t>Now</t>
        </is>
      </c>
    </row>
    <row r="50" ht="35" customHeight="1" s="38">
      <c r="A50" s="33" t="inlineStr">
        <is>
          <t>W2</t>
        </is>
      </c>
      <c r="B50" s="34" t="inlineStr">
        <is>
          <t>Class 7 Science + Social + Telugu</t>
        </is>
      </c>
      <c r="C50" s="51" t="inlineStr">
        <is>
          <t>Mahika sits four subjects. A tool covering one of them competes with her notebook, not with a tutor. Breadth beats depth for the first real user.</t>
        </is>
      </c>
      <c r="D50" s="51" t="inlineStr">
        <is>
          <t>Skipping this makes the product a maths app and kills the cross-subject pattern detection that is your actual insight (P1-P6 span subjects).</t>
        </is>
      </c>
      <c r="E50" s="52" t="n"/>
      <c r="F50" s="52" t="n"/>
      <c r="G50" s="52" t="n"/>
      <c r="H50" s="53" t="n"/>
      <c r="I50" s="51" t="inlineStr">
        <is>
          <t>W1 loop working end to end</t>
        </is>
      </c>
    </row>
    <row r="51" ht="35" customHeight="1" s="38">
      <c r="A51" s="33" t="inlineStr">
        <is>
          <t>W3</t>
        </is>
      </c>
      <c r="B51" s="34" t="inlineStr">
        <is>
          <t>Class 8, all subjects</t>
        </is>
      </c>
      <c r="C51" s="51" t="inlineStr">
        <is>
          <t>She moves up. A family that starts in Class 7 stays five years if you stay one step ahead of them. Retention beats acquisition at this size.</t>
        </is>
      </c>
      <c r="D51" s="51" t="inlineStr">
        <is>
          <t>Jumping to Class 10 instead leaves your only real user behind and forfeits the compounding concept history.</t>
        </is>
      </c>
      <c r="E51" s="52" t="n"/>
      <c r="F51" s="52" t="n"/>
      <c r="G51" s="52" t="n"/>
      <c r="H51" s="53" t="n"/>
      <c r="I51" s="51" t="inlineStr">
        <is>
          <t>Feb, before the academic year turns</t>
        </is>
      </c>
    </row>
    <row r="52" ht="35" customHeight="1" s="38">
      <c r="A52" s="33" t="inlineStr">
        <is>
          <t>W4</t>
        </is>
      </c>
      <c r="B52" s="34" t="inlineStr">
        <is>
          <t>Class 6, all subjects</t>
        </is>
      </c>
      <c r="C52" s="51" t="inlineStr">
        <is>
          <t>Completes middle school. Also unlocks the cross-class prerequisite graph — Class 7 decimals traced back to Class 6 fractions.</t>
        </is>
      </c>
      <c r="D52" s="51" t="inlineStr">
        <is>
          <t>Cheap and defensible: fewer competitors chase Class 6 than Class 10.</t>
        </is>
      </c>
      <c r="E52" s="52" t="n"/>
      <c r="F52" s="52" t="n"/>
      <c r="G52" s="52" t="n"/>
      <c r="H52" s="53" t="n"/>
      <c r="I52" s="51" t="inlineStr">
        <is>
          <t>After W3, or earlier if a second family has a younger child</t>
        </is>
      </c>
    </row>
    <row r="53" ht="35" customHeight="1" s="38">
      <c r="A53" s="33" t="inlineStr">
        <is>
          <t>W5</t>
        </is>
      </c>
      <c r="B53" s="34" t="inlineStr">
        <is>
          <t>Classes 9-10, Maths &amp; Science</t>
        </is>
      </c>
      <c r="C53" s="51" t="inlineStr">
        <is>
          <t>Highest willingness to pay because of board pressure. But the most crowded segment, and the tutor you displace is more entrenched.</t>
        </is>
      </c>
      <c r="D53" s="51" t="inlineStr">
        <is>
          <t>Entering here first means fighting Physics Wallah and Embibe on their ground with an empty bank.</t>
        </is>
      </c>
      <c r="E53" s="52" t="n"/>
      <c r="F53" s="52" t="n"/>
      <c r="G53" s="52" t="n"/>
      <c r="H53" s="53" t="n"/>
      <c r="I53" s="51" t="inlineStr">
        <is>
          <t>Only with paying users asking for it</t>
        </is>
      </c>
    </row>
    <row r="54" ht="35" customHeight="1" s="38">
      <c r="A54" s="33" t="inlineStr">
        <is>
          <t>W6</t>
        </is>
      </c>
      <c r="B54" s="34" t="inlineStr">
        <is>
          <t>Classes 11-12 (PCM / PCB)</t>
        </is>
      </c>
      <c r="C54" s="51" t="inlineStr">
        <is>
          <t>Largest market, and a different product. Streams, board plus JEE/NEET, far heavier content.</t>
        </is>
      </c>
      <c r="D54" s="54" t="inlineStr">
        <is>
          <t>STOP AND RECONSIDER: the parent-marks-the-paper model breaks here. Most parents cannot mark Class 12 Physics. Either the AI grades unsupervised (accuracy risk) or you sell to tutors instead of parents.</t>
        </is>
      </c>
      <c r="E54" s="52" t="n"/>
      <c r="F54" s="52" t="n"/>
      <c r="G54" s="52" t="n"/>
      <c r="H54" s="53" t="n"/>
      <c r="I54" s="51" t="inlineStr">
        <is>
          <t>Deliberate strategy decision, not a natural next step</t>
        </is>
      </c>
    </row>
    <row r="56" ht="19.5" customHeight="1" s="38">
      <c r="A56" s="40" t="inlineStr">
        <is>
          <t>E.  Five things to build now because they are expensive to retrofit</t>
        </is>
      </c>
    </row>
    <row r="57" ht="30" customHeight="1" s="38">
      <c r="A57" s="19" t="inlineStr">
        <is>
          <t>#</t>
        </is>
      </c>
      <c r="B57" s="19" t="inlineStr">
        <is>
          <t>Build now</t>
        </is>
      </c>
      <c r="C57" s="19" t="inlineStr">
        <is>
          <t>Why it is cheap now and painful later</t>
        </is>
      </c>
      <c r="D57" s="19" t="n"/>
      <c r="E57" s="19" t="n"/>
      <c r="F57" s="19" t="n"/>
      <c r="G57" s="19" t="n"/>
      <c r="H57" s="19" t="n"/>
      <c r="I57" s="19" t="inlineStr">
        <is>
          <t>Feature</t>
        </is>
      </c>
    </row>
    <row r="58" ht="35" customHeight="1" s="38">
      <c r="A58" s="4" t="inlineStr">
        <is>
          <t>1</t>
        </is>
      </c>
      <c r="B58" s="28" t="inlineStr">
        <is>
          <t>Chapter identity is (book, part, number) — never number alone</t>
        </is>
      </c>
      <c r="C58" s="51" t="inlineStr">
        <is>
          <t>Ganita Prakash Class 7 has TWO chapter 3s, TWO chapter 6s and a 'A Peek Beyond the Point' in Part I answered by 'Another Peek Beyond the Point' in Part II. Any schema keying chapters on a bare number corrupts the moment Part II is loaded. This is not hypothetical — it is in the book you are starting with.</t>
        </is>
      </c>
      <c r="D58" s="52" t="n"/>
      <c r="E58" s="52" t="n"/>
      <c r="F58" s="52" t="n"/>
      <c r="G58" s="52" t="n"/>
      <c r="H58" s="53" t="n"/>
      <c r="I58" s="4" t="inlineStr">
        <is>
          <t>F015</t>
        </is>
      </c>
    </row>
    <row r="59" ht="23.9" customHeight="1" s="38">
      <c r="A59" s="4" t="inlineStr">
        <is>
          <t>2</t>
        </is>
      </c>
      <c r="B59" s="34" t="inlineStr">
        <is>
          <t>Class and board are dimensions from day one</t>
        </is>
      </c>
      <c r="C59" s="51" t="inlineStr">
        <is>
          <t>Every concept code, question and blueprint carries class and board. Adding Class 8 must be a data load, not a migration. Never hardcode 'Class 7' in a route, a prompt or a PDF header.</t>
        </is>
      </c>
      <c r="D59" s="52" t="n"/>
      <c r="E59" s="52" t="n"/>
      <c r="F59" s="52" t="n"/>
      <c r="G59" s="52" t="n"/>
      <c r="H59" s="53" t="n"/>
      <c r="I59" s="4" t="inlineStr">
        <is>
          <t>F015, F017</t>
        </is>
      </c>
    </row>
    <row r="60" ht="23.9" customHeight="1" s="38">
      <c r="A60" s="4" t="inlineStr">
        <is>
          <t>3</t>
        </is>
      </c>
      <c r="B60" s="34" t="inlineStr">
        <is>
          <t>Cross-class prerequisite links</t>
        </is>
      </c>
      <c r="C60" s="51" t="inlineStr">
        <is>
          <t>Class 7 Part II Ch 6 explicitly refers back to Grade 6 constructions. Storing that link now is one row; reconstructing it across seven classes later is a project. It is also the capability Embibe markets as tracking gaps across grades.</t>
        </is>
      </c>
      <c r="D60" s="52" t="n"/>
      <c r="E60" s="52" t="n"/>
      <c r="F60" s="52" t="n"/>
      <c r="G60" s="52" t="n"/>
      <c r="H60" s="53" t="n"/>
      <c r="I60" s="4" t="inlineStr">
        <is>
          <t>F018</t>
        </is>
      </c>
    </row>
    <row r="61" ht="23.9" customHeight="1" s="38">
      <c r="A61" s="4" t="inlineStr">
        <is>
          <t>4</t>
        </is>
      </c>
      <c r="B61" s="34" t="inlineStr">
        <is>
          <t>Source registry stores the NCERT file code</t>
        </is>
      </c>
      <c r="C61" s="51" t="inlineStr">
        <is>
          <t>Record gegp101, gegp207 and so on against each chapter. When NCERT reprints, you know exactly which chapters to re-ingest and which scope records to re-verify.</t>
        </is>
      </c>
      <c r="D61" s="52" t="n"/>
      <c r="E61" s="52" t="n"/>
      <c r="F61" s="52" t="n"/>
      <c r="G61" s="52" t="n"/>
      <c r="H61" s="53" t="n"/>
      <c r="I61" s="4" t="inlineStr">
        <is>
          <t>F017</t>
        </is>
      </c>
    </row>
    <row r="62" ht="35" customHeight="1" s="38">
      <c r="A62" s="4" t="inlineStr">
        <is>
          <t>5</t>
        </is>
      </c>
      <c r="B62" s="34" t="inlineStr">
        <is>
          <t>An ingestion path for image-plus-text bundles, not just PDFs</t>
        </is>
      </c>
      <c r="C62" s="51" t="inlineStr">
        <is>
          <t>The files you already own are ZIPs of page JPEGs with a text sidecar. Build the ingester to handle true PDFs, image bundles and scans from the start; it is the same code path M10 needs for handwriting anyway.</t>
        </is>
      </c>
      <c r="D62" s="52" t="n"/>
      <c r="E62" s="52" t="n"/>
      <c r="F62" s="52" t="n"/>
      <c r="G62" s="52" t="n"/>
      <c r="H62" s="53" t="n"/>
      <c r="I62" s="4" t="inlineStr">
        <is>
          <t>F085, F019</t>
        </is>
      </c>
    </row>
  </sheetData>
  <mergeCells count="28">
    <mergeCell ref="A56:I56"/>
    <mergeCell ref="C32:I32"/>
    <mergeCell ref="C59:H59"/>
    <mergeCell ref="C28:I28"/>
    <mergeCell ref="D52:H52"/>
    <mergeCell ref="A33:I33"/>
    <mergeCell ref="A2:I2"/>
    <mergeCell ref="C60:H60"/>
    <mergeCell ref="A47:I47"/>
    <mergeCell ref="D49:H49"/>
    <mergeCell ref="C61:H61"/>
    <mergeCell ref="C30:I30"/>
    <mergeCell ref="A22:I22"/>
    <mergeCell ref="A35:I35"/>
    <mergeCell ref="A4:I4"/>
    <mergeCell ref="C27:I27"/>
    <mergeCell ref="D53:H53"/>
    <mergeCell ref="C26:I26"/>
    <mergeCell ref="C29:I29"/>
    <mergeCell ref="A24:I24"/>
    <mergeCell ref="C31:I31"/>
    <mergeCell ref="C62:H62"/>
    <mergeCell ref="C58:H58"/>
    <mergeCell ref="A1:I1"/>
    <mergeCell ref="A45:I45"/>
    <mergeCell ref="D51:H51"/>
    <mergeCell ref="D54:H54"/>
    <mergeCell ref="D50:H50"/>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2026-09-05T08:54:06Z</dcterms:created>
  <dcterms:modified xsi:type="dcterms:W3CDTF">2026-10-12T09:20:57Z</dcterms:modified>
  <cp:lastModifiedBy>Admin</cp:lastModifiedBy>
  <cp:revision>0</cp:revision>
</cp:coreProperties>
</file>